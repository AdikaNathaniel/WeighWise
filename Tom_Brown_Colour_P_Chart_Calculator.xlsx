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r/Downloads/"/>
    </mc:Choice>
  </mc:AlternateContent>
  <xr:revisionPtr revIDLastSave="0" documentId="8_{FDED2C80-1E1D-2246-B9C0-DC7DF47E055E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Colour P-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34" i="1"/>
  <c r="H34" i="1" s="1"/>
  <c r="K33" i="1"/>
  <c r="H33" i="1"/>
  <c r="F33" i="1"/>
  <c r="G33" i="1" s="1"/>
  <c r="E33" i="1"/>
  <c r="K32" i="1"/>
  <c r="H32" i="1"/>
  <c r="F32" i="1"/>
  <c r="E32" i="1"/>
  <c r="K31" i="1"/>
  <c r="F31" i="1"/>
  <c r="H31" i="1" s="1"/>
  <c r="E31" i="1"/>
  <c r="K30" i="1"/>
  <c r="F30" i="1"/>
  <c r="H30" i="1" s="1"/>
  <c r="E30" i="1"/>
  <c r="K29" i="1"/>
  <c r="H29" i="1"/>
  <c r="F29" i="1"/>
  <c r="G29" i="1" s="1"/>
  <c r="E29" i="1"/>
  <c r="K28" i="1"/>
  <c r="H28" i="1"/>
  <c r="F28" i="1"/>
  <c r="E28" i="1"/>
  <c r="K27" i="1"/>
  <c r="F27" i="1"/>
  <c r="H27" i="1" s="1"/>
  <c r="E27" i="1"/>
  <c r="K26" i="1"/>
  <c r="F26" i="1"/>
  <c r="H26" i="1" s="1"/>
  <c r="E26" i="1"/>
  <c r="K25" i="1"/>
  <c r="H25" i="1"/>
  <c r="F25" i="1"/>
  <c r="G25" i="1" s="1"/>
  <c r="E25" i="1"/>
  <c r="K24" i="1"/>
  <c r="H24" i="1"/>
  <c r="F24" i="1"/>
  <c r="E24" i="1"/>
  <c r="F23" i="1"/>
  <c r="H23" i="1" s="1"/>
  <c r="E23" i="1"/>
  <c r="F22" i="1"/>
  <c r="H22" i="1" s="1"/>
  <c r="E22" i="1"/>
  <c r="F21" i="1"/>
  <c r="H21" i="1" s="1"/>
  <c r="E21" i="1"/>
  <c r="F20" i="1"/>
  <c r="E20" i="1"/>
  <c r="F19" i="1"/>
  <c r="H19" i="1" s="1"/>
  <c r="E19" i="1"/>
  <c r="F18" i="1"/>
  <c r="H18" i="1" s="1"/>
  <c r="E18" i="1"/>
  <c r="F17" i="1"/>
  <c r="E17" i="1"/>
  <c r="F16" i="1"/>
  <c r="E16" i="1"/>
  <c r="F15" i="1"/>
  <c r="H15" i="1" s="1"/>
  <c r="E15" i="1"/>
  <c r="F14" i="1"/>
  <c r="H14" i="1" s="1"/>
  <c r="E14" i="1"/>
  <c r="F13" i="1"/>
  <c r="E13" i="1"/>
  <c r="F12" i="1"/>
  <c r="E12" i="1"/>
  <c r="F11" i="1"/>
  <c r="H11" i="1" s="1"/>
  <c r="E11" i="1"/>
  <c r="F10" i="1"/>
  <c r="H10" i="1" s="1"/>
  <c r="E10" i="1"/>
  <c r="H9" i="1"/>
  <c r="F9" i="1"/>
  <c r="E9" i="1"/>
  <c r="N5" i="1"/>
  <c r="G32" i="1" s="1"/>
  <c r="N4" i="1"/>
  <c r="J25" i="1" l="1"/>
  <c r="I25" i="1"/>
  <c r="J33" i="1"/>
  <c r="I33" i="1"/>
  <c r="J29" i="1"/>
  <c r="I29" i="1"/>
  <c r="J32" i="1"/>
  <c r="I32" i="1"/>
  <c r="G11" i="1"/>
  <c r="H12" i="1"/>
  <c r="G15" i="1"/>
  <c r="H16" i="1"/>
  <c r="G19" i="1"/>
  <c r="H20" i="1"/>
  <c r="G23" i="1"/>
  <c r="G27" i="1"/>
  <c r="G31" i="1"/>
  <c r="N6" i="1"/>
  <c r="G10" i="1"/>
  <c r="G14" i="1"/>
  <c r="G18" i="1"/>
  <c r="G22" i="1"/>
  <c r="G26" i="1"/>
  <c r="G30" i="1"/>
  <c r="E34" i="1"/>
  <c r="G9" i="1"/>
  <c r="G13" i="1"/>
  <c r="G17" i="1"/>
  <c r="G21" i="1"/>
  <c r="F34" i="1"/>
  <c r="G12" i="1"/>
  <c r="H13" i="1"/>
  <c r="G16" i="1"/>
  <c r="H17" i="1"/>
  <c r="G20" i="1"/>
  <c r="G24" i="1"/>
  <c r="G28" i="1"/>
  <c r="I26" i="1" l="1"/>
  <c r="J26" i="1"/>
  <c r="J23" i="1"/>
  <c r="I23" i="1"/>
  <c r="K23" i="1" s="1"/>
  <c r="J24" i="1"/>
  <c r="I24" i="1"/>
  <c r="J21" i="1"/>
  <c r="I21" i="1"/>
  <c r="K21" i="1" s="1"/>
  <c r="I22" i="1"/>
  <c r="J22" i="1"/>
  <c r="I14" i="1"/>
  <c r="J14" i="1"/>
  <c r="J31" i="1"/>
  <c r="I31" i="1"/>
  <c r="J19" i="1"/>
  <c r="I19" i="1"/>
  <c r="K19" i="1" s="1"/>
  <c r="J13" i="1"/>
  <c r="I13" i="1"/>
  <c r="K13" i="1" s="1"/>
  <c r="J10" i="1"/>
  <c r="I10" i="1"/>
  <c r="K10" i="1" s="1"/>
  <c r="J28" i="1"/>
  <c r="I28" i="1"/>
  <c r="J20" i="1"/>
  <c r="I20" i="1"/>
  <c r="K20" i="1" s="1"/>
  <c r="J12" i="1"/>
  <c r="I12" i="1"/>
  <c r="K12" i="1" s="1"/>
  <c r="J17" i="1"/>
  <c r="I17" i="1"/>
  <c r="K17" i="1" s="1"/>
  <c r="I30" i="1"/>
  <c r="J30" i="1"/>
  <c r="J27" i="1"/>
  <c r="I27" i="1"/>
  <c r="J11" i="1"/>
  <c r="I11" i="1"/>
  <c r="K11" i="1" s="1"/>
  <c r="I18" i="1"/>
  <c r="J18" i="1"/>
  <c r="J16" i="1"/>
  <c r="I16" i="1"/>
  <c r="K16" i="1" s="1"/>
  <c r="J9" i="1"/>
  <c r="I9" i="1"/>
  <c r="K9" i="1" s="1"/>
  <c r="J15" i="1"/>
  <c r="I15" i="1"/>
  <c r="N7" i="1" l="1"/>
  <c r="N8" i="1" s="1"/>
  <c r="K15" i="1"/>
  <c r="K18" i="1"/>
  <c r="K14" i="1"/>
  <c r="K22" i="1"/>
</calcChain>
</file>

<file path=xl/sharedStrings.xml><?xml version="1.0" encoding="utf-8"?>
<sst xmlns="http://schemas.openxmlformats.org/spreadsheetml/2006/main" count="51" uniqueCount="51">
  <si>
    <t>Tom Brown Colour p-Chart Calculator</t>
  </si>
  <si>
    <t>Target colour: LIGHT BROWN  |  Enter information only in the blue cells; all other columns calculate automatically.</t>
  </si>
  <si>
    <t>CURRENT PROCESS SUMMARY</t>
  </si>
  <si>
    <t>Classify each sample as conforming (within the approved light-brown reference range) or nonconforming (outside that range).</t>
  </si>
  <si>
    <t>Target colour</t>
  </si>
  <si>
    <t>Light brown</t>
  </si>
  <si>
    <t>Total samples inspected</t>
  </si>
  <si>
    <t>PROCESSOR INPUT AND AUTOMATIC CALCULATIONS</t>
  </si>
  <si>
    <t>Overall proportion (p̄)</t>
  </si>
  <si>
    <t>Batches entered</t>
  </si>
  <si>
    <t>Points outside limits</t>
  </si>
  <si>
    <t>Batch No.</t>
  </si>
  <si>
    <t>Production Date</t>
  </si>
  <si>
    <t>Samples Inspected (n)</t>
  </si>
  <si>
    <t>Outside Light-Brown Range (d)</t>
  </si>
  <si>
    <t>Conforming (n-d)</t>
  </si>
  <si>
    <t>Proportion Nonconforming (p)</t>
  </si>
  <si>
    <t>Standard Deviation (σp)</t>
  </si>
  <si>
    <t>Centre Line (p̄)</t>
  </si>
  <si>
    <t>UCL</t>
  </si>
  <si>
    <t>LCL</t>
  </si>
  <si>
    <t>Batch Status</t>
  </si>
  <si>
    <t>Overall status</t>
  </si>
  <si>
    <t>Control-limit basis</t>
  </si>
  <si>
    <t>3-sigma</t>
  </si>
  <si>
    <t>TOTAL / OVERALL</t>
  </si>
  <si>
    <t>AUTOMATIC CALCULATION GUIDE</t>
  </si>
  <si>
    <t>Measure</t>
  </si>
  <si>
    <t>Statistical formula</t>
  </si>
  <si>
    <t>Meaning</t>
  </si>
  <si>
    <t>PROCESSOR ACTION GUIDE</t>
  </si>
  <si>
    <t>Proportion nonconforming</t>
  </si>
  <si>
    <t>pᵢ = dᵢ / nᵢ</t>
  </si>
  <si>
    <t>Share of samples outside the approved light-brown range in each batch</t>
  </si>
  <si>
    <t>If a point is outside the control limits, investigate roasting temperature and time, stirring, batch size, raw-material moisture and heat distribution. Do not delete the point without documenting an assignable cause.</t>
  </si>
  <si>
    <t>Overall average proportion</t>
  </si>
  <si>
    <t>p̄ = Σdᵢ / Σnᵢ</t>
  </si>
  <si>
    <t>Centre of the p-chart based on all entered batches</t>
  </si>
  <si>
    <t>Standard deviation</t>
  </si>
  <si>
    <t>σpᵢ = √[p̄(1−p̄)/nᵢ]</t>
  </si>
  <si>
    <t>Expected sampling variation for each batch size</t>
  </si>
  <si>
    <t>Centre line</t>
  </si>
  <si>
    <t>CL = p̄</t>
  </si>
  <si>
    <t>Overall average proportion nonconforming</t>
  </si>
  <si>
    <t>Important: the approved light-brown reference range is the product specification. UCL and LCL are statistical control limits describing process behaviour; they are not colour specification limits. The status shown here checks points outside the 3-sigma limits and should be interpreted together with runs, trends and process knowledge.</t>
  </si>
  <si>
    <t>Upper control limit</t>
  </si>
  <si>
    <t>UCLᵢ = min[1, p̄ + 3σpᵢ]</t>
  </si>
  <si>
    <t>Upper boundary of expected common-cause variation</t>
  </si>
  <si>
    <t>Lower control limit</t>
  </si>
  <si>
    <t>LCLᵢ = max[0, p̄ − 3σpᵢ]</t>
  </si>
  <si>
    <t>Lower boundary of expected common-cause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</si>
</sst>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name val="Carlito"/>
    </font>
    <font>
      <b/>
      <sz val="18"/>
      <color rgb="FFFFFFFF"/>
      <name val="Arial"/>
      <family val="2"/>
    </font>
    <font>
      <b/>
      <sz val="11"/>
      <color rgb="FF7A4E2D"/>
      <name val="Arial"/>
      <family val="2"/>
    </font>
    <font>
      <i/>
      <sz val="10"/>
      <color rgb="FF404040"/>
      <name val="Arial"/>
      <family val="2"/>
    </font>
    <font>
      <b/>
      <sz val="11"/>
      <color rgb="FFFFFFFF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  <family val="2"/>
    </font>
    <font>
      <b/>
      <sz val="10"/>
      <color rgb="FF7A4E2D"/>
      <name val="Arial"/>
      <family val="2"/>
    </font>
    <font>
      <b/>
      <sz val="10"/>
      <color rgb="FF17365D"/>
      <name val="Arial"/>
      <family val="2"/>
    </font>
    <font>
      <sz val="10"/>
      <color rgb="FF7F6000"/>
      <name val="Arial"/>
      <family val="2"/>
    </font>
    <font>
      <sz val="10"/>
      <color rgb="FF17365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7A4E2D"/>
      </patternFill>
    </fill>
    <fill>
      <patternFill patternType="solid">
        <fgColor rgb="FFF5E9DC"/>
      </patternFill>
    </fill>
    <fill>
      <patternFill patternType="solid">
        <fgColor rgb="FF17365D"/>
      </patternFill>
    </fill>
    <fill>
      <patternFill patternType="solid">
        <fgColor rgb="FFD9B38C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5" fontId="7" fillId="6" borderId="2" xfId="0" applyNumberFormat="1" applyFont="1" applyFill="1" applyBorder="1" applyAlignment="1">
      <alignment vertical="center"/>
    </xf>
    <xf numFmtId="1" fontId="7" fillId="6" borderId="2" xfId="0" applyNumberFormat="1" applyFont="1" applyFill="1" applyBorder="1" applyAlignment="1">
      <alignment vertical="center"/>
    </xf>
    <xf numFmtId="1" fontId="6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1" fontId="5" fillId="7" borderId="3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10" fillId="8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Tom Brown Colour p-Chart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Proportion Nonconforming (p)</c:v>
          </c:tx>
          <c:spPr>
            <a:ln w="23813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P-Chart'!$F$9:$F$33</c:f>
              <c:numCache>
                <c:formatCode>0.0%</c:formatCode>
                <c:ptCount val="25"/>
                <c:pt idx="0">
                  <c:v>0.20833333333333334</c:v>
                </c:pt>
                <c:pt idx="1">
                  <c:v>0.22580645161290322</c:v>
                </c:pt>
                <c:pt idx="2">
                  <c:v>0.14285714285714285</c:v>
                </c:pt>
                <c:pt idx="3">
                  <c:v>0.27272727272727271</c:v>
                </c:pt>
                <c:pt idx="4">
                  <c:v>0.125</c:v>
                </c:pt>
                <c:pt idx="5">
                  <c:v>0.24</c:v>
                </c:pt>
                <c:pt idx="6">
                  <c:v>0.13333333333333333</c:v>
                </c:pt>
                <c:pt idx="7">
                  <c:v>8.3333333333333329E-2</c:v>
                </c:pt>
                <c:pt idx="8">
                  <c:v>8.3333333333333329E-2</c:v>
                </c:pt>
                <c:pt idx="9">
                  <c:v>0.42857142857142855</c:v>
                </c:pt>
                <c:pt idx="10">
                  <c:v>9.6774193548387094E-2</c:v>
                </c:pt>
                <c:pt idx="11">
                  <c:v>0.21739130434782608</c:v>
                </c:pt>
                <c:pt idx="12">
                  <c:v>0.11764705882352941</c:v>
                </c:pt>
                <c:pt idx="13">
                  <c:v>0.25</c:v>
                </c:pt>
                <c:pt idx="14">
                  <c:v>0.21052631578947367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D-D840-83EA-16DF058FF03B}"/>
            </c:ext>
          </c:extLst>
        </c:ser>
        <c:ser>
          <c:idx val="1"/>
          <c:order val="1"/>
          <c:tx>
            <c:v>UCL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P-Chart'!$I$9:$I$33</c:f>
              <c:numCache>
                <c:formatCode>0.0%</c:formatCode>
                <c:ptCount val="25"/>
                <c:pt idx="0">
                  <c:v>0.47076812555019254</c:v>
                </c:pt>
                <c:pt idx="1">
                  <c:v>0.44040013842570103</c:v>
                </c:pt>
                <c:pt idx="2">
                  <c:v>0.48822403336925208</c:v>
                </c:pt>
                <c:pt idx="3">
                  <c:v>0.48200997708095494</c:v>
                </c:pt>
                <c:pt idx="4">
                  <c:v>0.41378178899642515</c:v>
                </c:pt>
                <c:pt idx="5">
                  <c:v>0.46566013622725055</c:v>
                </c:pt>
                <c:pt idx="6">
                  <c:v>0.53774278383477669</c:v>
                </c:pt>
                <c:pt idx="7">
                  <c:v>0.57548935300985493</c:v>
                </c:pt>
                <c:pt idx="8">
                  <c:v>0.47076812555019254</c:v>
                </c:pt>
                <c:pt idx="9">
                  <c:v>0.36598460494136836</c:v>
                </c:pt>
                <c:pt idx="10">
                  <c:v>0.44040013842570103</c:v>
                </c:pt>
                <c:pt idx="11">
                  <c:v>0.47620572413669382</c:v>
                </c:pt>
                <c:pt idx="12">
                  <c:v>0.51834293625282002</c:v>
                </c:pt>
                <c:pt idx="13">
                  <c:v>0.52758799079688368</c:v>
                </c:pt>
                <c:pt idx="14">
                  <c:v>0.50209320201115415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D-D840-83EA-16DF058FF03B}"/>
            </c:ext>
          </c:extLst>
        </c:ser>
        <c:ser>
          <c:idx val="2"/>
          <c:order val="2"/>
          <c:tx>
            <c:v>Centre Line (p̄)</c:v>
          </c:tx>
          <c:spPr>
            <a:ln w="19050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P-Chart'!$H$9:$H$33</c:f>
              <c:numCache>
                <c:formatCode>0.0%</c:formatCode>
                <c:ptCount val="25"/>
                <c:pt idx="0">
                  <c:v>0.21794871794871795</c:v>
                </c:pt>
                <c:pt idx="1">
                  <c:v>0.21794871794871795</c:v>
                </c:pt>
                <c:pt idx="2">
                  <c:v>0.21794871794871795</c:v>
                </c:pt>
                <c:pt idx="3">
                  <c:v>0.21794871794871795</c:v>
                </c:pt>
                <c:pt idx="4">
                  <c:v>0.21794871794871795</c:v>
                </c:pt>
                <c:pt idx="5">
                  <c:v>0.21794871794871795</c:v>
                </c:pt>
                <c:pt idx="6">
                  <c:v>0.21794871794871795</c:v>
                </c:pt>
                <c:pt idx="7">
                  <c:v>0.21794871794871795</c:v>
                </c:pt>
                <c:pt idx="8">
                  <c:v>0.21794871794871795</c:v>
                </c:pt>
                <c:pt idx="9">
                  <c:v>0.21794871794871795</c:v>
                </c:pt>
                <c:pt idx="10">
                  <c:v>0.21794871794871795</c:v>
                </c:pt>
                <c:pt idx="11">
                  <c:v>0.21794871794871795</c:v>
                </c:pt>
                <c:pt idx="12">
                  <c:v>0.21794871794871795</c:v>
                </c:pt>
                <c:pt idx="13">
                  <c:v>0.21794871794871795</c:v>
                </c:pt>
                <c:pt idx="14">
                  <c:v>0.21794871794871795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D-D840-83EA-16DF058FF03B}"/>
            </c:ext>
          </c:extLst>
        </c:ser>
        <c:ser>
          <c:idx val="3"/>
          <c:order val="3"/>
          <c:tx>
            <c:v>LCL</c:v>
          </c:tx>
          <c:spPr>
            <a:ln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'Colour P-Chart'!$A$9:$A$33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'Colour P-Chart'!$J$9:$J$33</c:f>
              <c:numCache>
                <c:formatCode>0.0%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2.2115646901010783E-2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6.991283095606754E-2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D-D840-83EA-16DF058FF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Production batch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GH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Proportion outside light-brown range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GH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GH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10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5E3C"/>
  </sheetPr>
  <dimension ref="A1:N44"/>
  <sheetViews>
    <sheetView showGridLines="0" tabSelected="1" zoomScale="69" workbookViewId="0">
      <pane ySplit="8" topLeftCell="A12" activePane="bottomLeft" state="frozen"/>
      <selection pane="bottomLeft" activeCell="J18" sqref="J18"/>
    </sheetView>
  </sheetViews>
  <sheetFormatPr baseColWidth="10" defaultColWidth="8.83203125" defaultRowHeight="14"/>
  <cols>
    <col min="1" max="1" width="24" customWidth="1"/>
    <col min="2" max="2" width="27" customWidth="1"/>
    <col min="3" max="3" width="52" customWidth="1"/>
    <col min="4" max="4" width="23" customWidth="1"/>
    <col min="5" max="5" width="16" customWidth="1"/>
    <col min="6" max="6" width="22" customWidth="1"/>
    <col min="7" max="7" width="20" customWidth="1"/>
    <col min="8" max="8" width="15" customWidth="1"/>
    <col min="9" max="10" width="12" customWidth="1"/>
    <col min="11" max="11" width="18" customWidth="1"/>
    <col min="13" max="14" width="24" customWidth="1"/>
    <col min="15" max="15" width="3" customWidth="1"/>
    <col min="16" max="21" width="12" customWidth="1"/>
  </cols>
  <sheetData>
    <row r="1" spans="1:14" ht="32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4" ht="28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M2" s="20" t="s">
        <v>2</v>
      </c>
      <c r="N2" s="20"/>
    </row>
    <row r="3" spans="1:14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M3" s="11" t="s">
        <v>4</v>
      </c>
      <c r="N3" s="10" t="s">
        <v>5</v>
      </c>
    </row>
    <row r="4" spans="1:14">
      <c r="M4" s="11" t="s">
        <v>6</v>
      </c>
      <c r="N4" s="10">
        <f>SUM(C9:C33)</f>
        <v>390</v>
      </c>
    </row>
    <row r="5" spans="1:14">
      <c r="A5" s="18" t="s">
        <v>7</v>
      </c>
      <c r="B5" s="18"/>
      <c r="C5" s="18"/>
      <c r="D5" s="18"/>
      <c r="E5" s="18"/>
      <c r="F5" s="18"/>
      <c r="G5" s="18"/>
      <c r="H5" s="18"/>
      <c r="I5" s="18"/>
      <c r="J5" s="18"/>
      <c r="K5" s="18"/>
      <c r="M5" s="11" t="s">
        <v>8</v>
      </c>
      <c r="N5" s="12">
        <f>IFERROR(SUM(D9:D33)/SUM(C9:C33),"")</f>
        <v>0.21794871794871795</v>
      </c>
    </row>
    <row r="6" spans="1:14">
      <c r="M6" s="11" t="s">
        <v>9</v>
      </c>
      <c r="N6" s="10">
        <f>COUNT(F9:F33)</f>
        <v>15</v>
      </c>
    </row>
    <row r="7" spans="1:14">
      <c r="M7" s="11" t="s">
        <v>10</v>
      </c>
      <c r="N7" s="10">
        <f>COUNTIF(K9:K33,"OUT OF CONTROL")</f>
        <v>1</v>
      </c>
    </row>
    <row r="8" spans="1:14" ht="44" customHeight="1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M8" s="11" t="s">
        <v>22</v>
      </c>
      <c r="N8" s="13" t="str">
        <f>IF(N6=0,"ENTER DATA",IF(N7&gt;0,"INVESTIGATE PROCESS","NO POINTS OUTSIDE LIMITS"))</f>
        <v>INVESTIGATE PROCESS</v>
      </c>
    </row>
    <row r="9" spans="1:14" ht="22" customHeight="1">
      <c r="A9" s="2">
        <v>1</v>
      </c>
      <c r="B9" s="3">
        <v>46249</v>
      </c>
      <c r="C9" s="4">
        <v>24</v>
      </c>
      <c r="D9" s="4">
        <v>5</v>
      </c>
      <c r="E9" s="5">
        <f t="shared" ref="E9:E33" si="0">IF(OR(C9="",D9="",C9&lt;=0,D9&lt;0,D9&gt;C9),"",C9-D9)</f>
        <v>19</v>
      </c>
      <c r="F9" s="6">
        <f t="shared" ref="F9:F33" si="1">IF(OR(C9="",D9="",C9&lt;=0,D9&lt;0,D9&gt;C9),"",D9/C9)</f>
        <v>0.20833333333333334</v>
      </c>
      <c r="G9" s="6">
        <f t="shared" ref="G9:G33" si="2">IF(OR(F9="",$N$5=""),"",SQRT($N$5*(1-$N$5)/C9))</f>
        <v>8.4273135867158191E-2</v>
      </c>
      <c r="H9" s="6">
        <f t="shared" ref="H9:H33" si="3">IF(F9="","",$N$5)</f>
        <v>0.21794871794871795</v>
      </c>
      <c r="I9" s="6">
        <f t="shared" ref="I9:I33" si="4">IF(G9="","",MIN(1,$N$5+3*G9))</f>
        <v>0.47076812555019254</v>
      </c>
      <c r="J9" s="6">
        <f t="shared" ref="J9:J33" si="5">IF(G9="","",MAX(0,$N$5-3*G9))</f>
        <v>0</v>
      </c>
      <c r="K9" s="2" t="str">
        <f t="shared" ref="K9:K33" si="6">IF(AND(C9="",D9=""),"",IF(OR(C9&lt;=0,D9&lt;0,D9&gt;C9),"CHECK INPUT",IF(OR(F9&gt;I9,F9&lt;J9),"OUT OF CONTROL","IN CONTROL")))</f>
        <v>IN CONTROL</v>
      </c>
      <c r="M9" s="11" t="s">
        <v>23</v>
      </c>
      <c r="N9" s="10" t="s">
        <v>24</v>
      </c>
    </row>
    <row r="10" spans="1:14" ht="22" customHeight="1">
      <c r="A10" s="2">
        <v>2</v>
      </c>
      <c r="B10" s="3">
        <v>46246</v>
      </c>
      <c r="C10" s="4">
        <v>31</v>
      </c>
      <c r="D10" s="4">
        <v>7</v>
      </c>
      <c r="E10" s="5">
        <f t="shared" si="0"/>
        <v>24</v>
      </c>
      <c r="F10" s="6">
        <f t="shared" si="1"/>
        <v>0.22580645161290322</v>
      </c>
      <c r="G10" s="6">
        <f t="shared" si="2"/>
        <v>7.4150473492327701E-2</v>
      </c>
      <c r="H10" s="6">
        <f t="shared" si="3"/>
        <v>0.21794871794871795</v>
      </c>
      <c r="I10" s="6">
        <f t="shared" si="4"/>
        <v>0.44040013842570103</v>
      </c>
      <c r="J10" s="6">
        <f t="shared" si="5"/>
        <v>0</v>
      </c>
      <c r="K10" s="2" t="str">
        <f t="shared" si="6"/>
        <v>IN CONTROL</v>
      </c>
    </row>
    <row r="11" spans="1:14" ht="22" customHeight="1">
      <c r="A11" s="2">
        <v>3</v>
      </c>
      <c r="B11" s="3">
        <v>46254</v>
      </c>
      <c r="C11" s="4">
        <v>21</v>
      </c>
      <c r="D11" s="4">
        <v>3</v>
      </c>
      <c r="E11" s="5">
        <f t="shared" si="0"/>
        <v>18</v>
      </c>
      <c r="F11" s="6">
        <f t="shared" si="1"/>
        <v>0.14285714285714285</v>
      </c>
      <c r="G11" s="6">
        <f t="shared" si="2"/>
        <v>9.0091771806844703E-2</v>
      </c>
      <c r="H11" s="6">
        <f t="shared" si="3"/>
        <v>0.21794871794871795</v>
      </c>
      <c r="I11" s="6">
        <f t="shared" si="4"/>
        <v>0.48822403336925208</v>
      </c>
      <c r="J11" s="6">
        <f t="shared" si="5"/>
        <v>0</v>
      </c>
      <c r="K11" s="2" t="str">
        <f t="shared" si="6"/>
        <v>IN CONTROL</v>
      </c>
    </row>
    <row r="12" spans="1:14" ht="22" customHeight="1">
      <c r="A12" s="2">
        <v>4</v>
      </c>
      <c r="B12" s="3">
        <v>46256</v>
      </c>
      <c r="C12" s="4">
        <v>22</v>
      </c>
      <c r="D12" s="4">
        <v>6</v>
      </c>
      <c r="E12" s="5">
        <f t="shared" si="0"/>
        <v>16</v>
      </c>
      <c r="F12" s="6">
        <f t="shared" si="1"/>
        <v>0.27272727272727271</v>
      </c>
      <c r="G12" s="6">
        <f t="shared" si="2"/>
        <v>8.8020419710745673E-2</v>
      </c>
      <c r="H12" s="6">
        <f t="shared" si="3"/>
        <v>0.21794871794871795</v>
      </c>
      <c r="I12" s="6">
        <f t="shared" si="4"/>
        <v>0.48200997708095494</v>
      </c>
      <c r="J12" s="6">
        <f t="shared" si="5"/>
        <v>0</v>
      </c>
      <c r="K12" s="2" t="str">
        <f t="shared" si="6"/>
        <v>IN CONTROL</v>
      </c>
    </row>
    <row r="13" spans="1:14" ht="22" customHeight="1">
      <c r="A13" s="2">
        <v>5</v>
      </c>
      <c r="B13" s="3">
        <v>46263</v>
      </c>
      <c r="C13" s="4">
        <v>40</v>
      </c>
      <c r="D13" s="4">
        <v>5</v>
      </c>
      <c r="E13" s="5">
        <f t="shared" si="0"/>
        <v>35</v>
      </c>
      <c r="F13" s="6">
        <f t="shared" si="1"/>
        <v>0.125</v>
      </c>
      <c r="G13" s="6">
        <f t="shared" si="2"/>
        <v>6.5277690349235723E-2</v>
      </c>
      <c r="H13" s="6">
        <f t="shared" si="3"/>
        <v>0.21794871794871795</v>
      </c>
      <c r="I13" s="6">
        <f t="shared" si="4"/>
        <v>0.41378178899642515</v>
      </c>
      <c r="J13" s="6">
        <f t="shared" si="5"/>
        <v>2.2115646901010783E-2</v>
      </c>
      <c r="K13" s="2" t="str">
        <f t="shared" si="6"/>
        <v>IN CONTROL</v>
      </c>
    </row>
    <row r="14" spans="1:14" ht="22" customHeight="1">
      <c r="A14" s="2">
        <v>6</v>
      </c>
      <c r="B14" s="3">
        <v>46265</v>
      </c>
      <c r="C14" s="4">
        <v>25</v>
      </c>
      <c r="D14" s="4">
        <v>6</v>
      </c>
      <c r="E14" s="5">
        <f t="shared" si="0"/>
        <v>19</v>
      </c>
      <c r="F14" s="6">
        <f t="shared" si="1"/>
        <v>0.24</v>
      </c>
      <c r="G14" s="6">
        <f t="shared" si="2"/>
        <v>8.2570472759510863E-2</v>
      </c>
      <c r="H14" s="6">
        <f t="shared" si="3"/>
        <v>0.21794871794871795</v>
      </c>
      <c r="I14" s="6">
        <f t="shared" si="4"/>
        <v>0.46566013622725055</v>
      </c>
      <c r="J14" s="6">
        <f t="shared" si="5"/>
        <v>0</v>
      </c>
      <c r="K14" s="2" t="str">
        <f t="shared" si="6"/>
        <v>IN CONTROL</v>
      </c>
    </row>
    <row r="15" spans="1:14" ht="22" customHeight="1">
      <c r="A15" s="2">
        <v>7</v>
      </c>
      <c r="B15" s="3">
        <v>46268</v>
      </c>
      <c r="C15" s="4">
        <v>15</v>
      </c>
      <c r="D15" s="4">
        <v>2</v>
      </c>
      <c r="E15" s="5">
        <f t="shared" si="0"/>
        <v>13</v>
      </c>
      <c r="F15" s="6">
        <f t="shared" si="1"/>
        <v>0.13333333333333333</v>
      </c>
      <c r="G15" s="6">
        <f t="shared" si="2"/>
        <v>0.10659802196201959</v>
      </c>
      <c r="H15" s="6">
        <f t="shared" si="3"/>
        <v>0.21794871794871795</v>
      </c>
      <c r="I15" s="6">
        <f t="shared" si="4"/>
        <v>0.53774278383477669</v>
      </c>
      <c r="J15" s="6">
        <f t="shared" si="5"/>
        <v>0</v>
      </c>
      <c r="K15" s="2" t="str">
        <f t="shared" si="6"/>
        <v>IN CONTROL</v>
      </c>
    </row>
    <row r="16" spans="1:14" ht="22" customHeight="1">
      <c r="A16" s="2">
        <v>8</v>
      </c>
      <c r="B16" s="3">
        <v>46270</v>
      </c>
      <c r="C16" s="4">
        <v>12</v>
      </c>
      <c r="D16" s="4">
        <v>1</v>
      </c>
      <c r="E16" s="5">
        <f t="shared" si="0"/>
        <v>11</v>
      </c>
      <c r="F16" s="6">
        <f t="shared" si="1"/>
        <v>8.3333333333333329E-2</v>
      </c>
      <c r="G16" s="6">
        <f t="shared" si="2"/>
        <v>0.11918021168704565</v>
      </c>
      <c r="H16" s="6">
        <f t="shared" si="3"/>
        <v>0.21794871794871795</v>
      </c>
      <c r="I16" s="6">
        <f t="shared" si="4"/>
        <v>0.57548935300985493</v>
      </c>
      <c r="J16" s="6">
        <f t="shared" si="5"/>
        <v>0</v>
      </c>
      <c r="K16" s="2" t="str">
        <f t="shared" si="6"/>
        <v>IN CONTROL</v>
      </c>
    </row>
    <row r="17" spans="1:11" ht="22" customHeight="1">
      <c r="A17" s="2">
        <v>9</v>
      </c>
      <c r="B17" s="3">
        <v>46273</v>
      </c>
      <c r="C17" s="4">
        <v>24</v>
      </c>
      <c r="D17" s="4">
        <v>2</v>
      </c>
      <c r="E17" s="5">
        <f t="shared" si="0"/>
        <v>22</v>
      </c>
      <c r="F17" s="6">
        <f t="shared" si="1"/>
        <v>8.3333333333333329E-2</v>
      </c>
      <c r="G17" s="6">
        <f t="shared" si="2"/>
        <v>8.4273135867158191E-2</v>
      </c>
      <c r="H17" s="6">
        <f t="shared" si="3"/>
        <v>0.21794871794871795</v>
      </c>
      <c r="I17" s="6">
        <f t="shared" si="4"/>
        <v>0.47076812555019254</v>
      </c>
      <c r="J17" s="6">
        <f t="shared" si="5"/>
        <v>0</v>
      </c>
      <c r="K17" s="2" t="str">
        <f t="shared" si="6"/>
        <v>IN CONTROL</v>
      </c>
    </row>
    <row r="18" spans="1:11" ht="22" customHeight="1">
      <c r="A18" s="2">
        <v>10</v>
      </c>
      <c r="B18" s="3">
        <v>46279</v>
      </c>
      <c r="C18" s="4">
        <v>70</v>
      </c>
      <c r="D18" s="4">
        <v>30</v>
      </c>
      <c r="E18" s="5">
        <f t="shared" si="0"/>
        <v>40</v>
      </c>
      <c r="F18" s="6">
        <f t="shared" si="1"/>
        <v>0.42857142857142855</v>
      </c>
      <c r="G18" s="6">
        <f t="shared" si="2"/>
        <v>4.9345295664216804E-2</v>
      </c>
      <c r="H18" s="6">
        <f t="shared" si="3"/>
        <v>0.21794871794871795</v>
      </c>
      <c r="I18" s="6">
        <f t="shared" si="4"/>
        <v>0.36598460494136836</v>
      </c>
      <c r="J18" s="6">
        <f t="shared" si="5"/>
        <v>6.991283095606754E-2</v>
      </c>
      <c r="K18" s="2" t="str">
        <f t="shared" si="6"/>
        <v>OUT OF CONTROL</v>
      </c>
    </row>
    <row r="19" spans="1:11" ht="22" customHeight="1">
      <c r="A19" s="2">
        <v>11</v>
      </c>
      <c r="B19" s="3">
        <v>46283</v>
      </c>
      <c r="C19" s="4">
        <v>31</v>
      </c>
      <c r="D19" s="4">
        <v>3</v>
      </c>
      <c r="E19" s="5">
        <f t="shared" si="0"/>
        <v>28</v>
      </c>
      <c r="F19" s="6">
        <f t="shared" si="1"/>
        <v>9.6774193548387094E-2</v>
      </c>
      <c r="G19" s="6">
        <f t="shared" si="2"/>
        <v>7.4150473492327701E-2</v>
      </c>
      <c r="H19" s="6">
        <f t="shared" si="3"/>
        <v>0.21794871794871795</v>
      </c>
      <c r="I19" s="6">
        <f t="shared" si="4"/>
        <v>0.44040013842570103</v>
      </c>
      <c r="J19" s="6">
        <f t="shared" si="5"/>
        <v>0</v>
      </c>
      <c r="K19" s="2" t="str">
        <f t="shared" si="6"/>
        <v>IN CONTROL</v>
      </c>
    </row>
    <row r="20" spans="1:11" ht="22" customHeight="1">
      <c r="A20" s="2">
        <v>12</v>
      </c>
      <c r="B20" s="3">
        <v>46286</v>
      </c>
      <c r="C20" s="4">
        <v>23</v>
      </c>
      <c r="D20" s="4">
        <v>5</v>
      </c>
      <c r="E20" s="5">
        <f t="shared" si="0"/>
        <v>18</v>
      </c>
      <c r="F20" s="6">
        <f t="shared" si="1"/>
        <v>0.21739130434782608</v>
      </c>
      <c r="G20" s="6">
        <f t="shared" si="2"/>
        <v>8.6085668729325299E-2</v>
      </c>
      <c r="H20" s="6">
        <f t="shared" si="3"/>
        <v>0.21794871794871795</v>
      </c>
      <c r="I20" s="6">
        <f t="shared" si="4"/>
        <v>0.47620572413669382</v>
      </c>
      <c r="J20" s="6">
        <f t="shared" si="5"/>
        <v>0</v>
      </c>
      <c r="K20" s="2" t="str">
        <f t="shared" si="6"/>
        <v>IN CONTROL</v>
      </c>
    </row>
    <row r="21" spans="1:11" ht="22" customHeight="1">
      <c r="A21" s="2">
        <v>13</v>
      </c>
      <c r="B21" s="3">
        <v>46288</v>
      </c>
      <c r="C21" s="4">
        <v>17</v>
      </c>
      <c r="D21" s="4">
        <v>2</v>
      </c>
      <c r="E21" s="5">
        <f t="shared" si="0"/>
        <v>15</v>
      </c>
      <c r="F21" s="6">
        <f t="shared" si="1"/>
        <v>0.11764705882352941</v>
      </c>
      <c r="G21" s="6">
        <f t="shared" si="2"/>
        <v>0.10013140610136737</v>
      </c>
      <c r="H21" s="6">
        <f t="shared" si="3"/>
        <v>0.21794871794871795</v>
      </c>
      <c r="I21" s="6">
        <f t="shared" si="4"/>
        <v>0.51834293625282002</v>
      </c>
      <c r="J21" s="6">
        <f t="shared" si="5"/>
        <v>0</v>
      </c>
      <c r="K21" s="2" t="str">
        <f t="shared" si="6"/>
        <v>IN CONTROL</v>
      </c>
    </row>
    <row r="22" spans="1:11" ht="22" customHeight="1">
      <c r="A22" s="2">
        <v>14</v>
      </c>
      <c r="B22" s="3">
        <v>46290</v>
      </c>
      <c r="C22" s="4">
        <v>16</v>
      </c>
      <c r="D22" s="4">
        <v>4</v>
      </c>
      <c r="E22" s="5">
        <f t="shared" si="0"/>
        <v>12</v>
      </c>
      <c r="F22" s="6">
        <f t="shared" si="1"/>
        <v>0.25</v>
      </c>
      <c r="G22" s="6">
        <f t="shared" si="2"/>
        <v>0.10321309094938858</v>
      </c>
      <c r="H22" s="6">
        <f t="shared" si="3"/>
        <v>0.21794871794871795</v>
      </c>
      <c r="I22" s="6">
        <f t="shared" si="4"/>
        <v>0.52758799079688368</v>
      </c>
      <c r="J22" s="6">
        <f t="shared" si="5"/>
        <v>0</v>
      </c>
      <c r="K22" s="2" t="str">
        <f t="shared" si="6"/>
        <v>IN CONTROL</v>
      </c>
    </row>
    <row r="23" spans="1:11" ht="22" customHeight="1">
      <c r="A23" s="2">
        <v>15</v>
      </c>
      <c r="B23" s="3">
        <v>46292</v>
      </c>
      <c r="C23" s="4">
        <v>19</v>
      </c>
      <c r="D23" s="4">
        <v>4</v>
      </c>
      <c r="E23" s="5">
        <f t="shared" si="0"/>
        <v>15</v>
      </c>
      <c r="F23" s="6">
        <f t="shared" si="1"/>
        <v>0.21052631578947367</v>
      </c>
      <c r="G23" s="6">
        <f t="shared" si="2"/>
        <v>9.4714828020812075E-2</v>
      </c>
      <c r="H23" s="6">
        <f t="shared" si="3"/>
        <v>0.21794871794871795</v>
      </c>
      <c r="I23" s="6">
        <f t="shared" si="4"/>
        <v>0.50209320201115415</v>
      </c>
      <c r="J23" s="6">
        <f t="shared" si="5"/>
        <v>0</v>
      </c>
      <c r="K23" s="2" t="str">
        <f t="shared" si="6"/>
        <v>IN CONTROL</v>
      </c>
    </row>
    <row r="24" spans="1:11" ht="22" customHeight="1">
      <c r="A24" s="2">
        <v>16</v>
      </c>
      <c r="B24" s="3"/>
      <c r="C24" s="4"/>
      <c r="D24" s="4"/>
      <c r="E24" s="5" t="str">
        <f t="shared" si="0"/>
        <v/>
      </c>
      <c r="F24" s="6" t="str">
        <f t="shared" si="1"/>
        <v/>
      </c>
      <c r="G24" s="6" t="str">
        <f t="shared" si="2"/>
        <v/>
      </c>
      <c r="H24" s="6" t="str">
        <f t="shared" si="3"/>
        <v/>
      </c>
      <c r="I24" s="6" t="str">
        <f t="shared" si="4"/>
        <v/>
      </c>
      <c r="J24" s="6" t="str">
        <f t="shared" si="5"/>
        <v/>
      </c>
      <c r="K24" s="2" t="str">
        <f t="shared" si="6"/>
        <v/>
      </c>
    </row>
    <row r="25" spans="1:11" ht="22" customHeight="1">
      <c r="A25" s="2">
        <v>17</v>
      </c>
      <c r="B25" s="3"/>
      <c r="C25" s="4"/>
      <c r="D25" s="4"/>
      <c r="E25" s="5" t="str">
        <f t="shared" si="0"/>
        <v/>
      </c>
      <c r="F25" s="6" t="str">
        <f t="shared" si="1"/>
        <v/>
      </c>
      <c r="G25" s="6" t="str">
        <f t="shared" si="2"/>
        <v/>
      </c>
      <c r="H25" s="6" t="str">
        <f t="shared" si="3"/>
        <v/>
      </c>
      <c r="I25" s="6" t="str">
        <f t="shared" si="4"/>
        <v/>
      </c>
      <c r="J25" s="6" t="str">
        <f t="shared" si="5"/>
        <v/>
      </c>
      <c r="K25" s="2" t="str">
        <f t="shared" si="6"/>
        <v/>
      </c>
    </row>
    <row r="26" spans="1:11" ht="22" customHeight="1">
      <c r="A26" s="2">
        <v>18</v>
      </c>
      <c r="B26" s="3"/>
      <c r="C26" s="4"/>
      <c r="D26" s="4"/>
      <c r="E26" s="5" t="str">
        <f t="shared" si="0"/>
        <v/>
      </c>
      <c r="F26" s="6" t="str">
        <f t="shared" si="1"/>
        <v/>
      </c>
      <c r="G26" s="6" t="str">
        <f t="shared" si="2"/>
        <v/>
      </c>
      <c r="H26" s="6" t="str">
        <f t="shared" si="3"/>
        <v/>
      </c>
      <c r="I26" s="6" t="str">
        <f t="shared" si="4"/>
        <v/>
      </c>
      <c r="J26" s="6" t="str">
        <f t="shared" si="5"/>
        <v/>
      </c>
      <c r="K26" s="2" t="str">
        <f t="shared" si="6"/>
        <v/>
      </c>
    </row>
    <row r="27" spans="1:11" ht="22" customHeight="1">
      <c r="A27" s="2">
        <v>19</v>
      </c>
      <c r="B27" s="3"/>
      <c r="C27" s="4"/>
      <c r="D27" s="4"/>
      <c r="E27" s="5" t="str">
        <f t="shared" si="0"/>
        <v/>
      </c>
      <c r="F27" s="6" t="str">
        <f t="shared" si="1"/>
        <v/>
      </c>
      <c r="G27" s="6" t="str">
        <f t="shared" si="2"/>
        <v/>
      </c>
      <c r="H27" s="6" t="str">
        <f t="shared" si="3"/>
        <v/>
      </c>
      <c r="I27" s="6" t="str">
        <f t="shared" si="4"/>
        <v/>
      </c>
      <c r="J27" s="6" t="str">
        <f t="shared" si="5"/>
        <v/>
      </c>
      <c r="K27" s="2" t="str">
        <f t="shared" si="6"/>
        <v/>
      </c>
    </row>
    <row r="28" spans="1:11" ht="22" customHeight="1">
      <c r="A28" s="2">
        <v>20</v>
      </c>
      <c r="B28" s="3"/>
      <c r="C28" s="4"/>
      <c r="D28" s="4"/>
      <c r="E28" s="5" t="str">
        <f t="shared" si="0"/>
        <v/>
      </c>
      <c r="F28" s="6" t="str">
        <f t="shared" si="1"/>
        <v/>
      </c>
      <c r="G28" s="6" t="str">
        <f t="shared" si="2"/>
        <v/>
      </c>
      <c r="H28" s="6" t="str">
        <f t="shared" si="3"/>
        <v/>
      </c>
      <c r="I28" s="6" t="str">
        <f t="shared" si="4"/>
        <v/>
      </c>
      <c r="J28" s="6" t="str">
        <f t="shared" si="5"/>
        <v/>
      </c>
      <c r="K28" s="2" t="str">
        <f t="shared" si="6"/>
        <v/>
      </c>
    </row>
    <row r="29" spans="1:11" ht="22" customHeight="1">
      <c r="A29" s="2">
        <v>21</v>
      </c>
      <c r="B29" s="3"/>
      <c r="C29" s="4"/>
      <c r="D29" s="4"/>
      <c r="E29" s="5" t="str">
        <f t="shared" si="0"/>
        <v/>
      </c>
      <c r="F29" s="6" t="str">
        <f t="shared" si="1"/>
        <v/>
      </c>
      <c r="G29" s="6" t="str">
        <f t="shared" si="2"/>
        <v/>
      </c>
      <c r="H29" s="6" t="str">
        <f t="shared" si="3"/>
        <v/>
      </c>
      <c r="I29" s="6" t="str">
        <f t="shared" si="4"/>
        <v/>
      </c>
      <c r="J29" s="6" t="str">
        <f t="shared" si="5"/>
        <v/>
      </c>
      <c r="K29" s="2" t="str">
        <f t="shared" si="6"/>
        <v/>
      </c>
    </row>
    <row r="30" spans="1:11" ht="22" customHeight="1">
      <c r="A30" s="2">
        <v>22</v>
      </c>
      <c r="B30" s="3"/>
      <c r="C30" s="4"/>
      <c r="D30" s="4"/>
      <c r="E30" s="5" t="str">
        <f t="shared" si="0"/>
        <v/>
      </c>
      <c r="F30" s="6" t="str">
        <f t="shared" si="1"/>
        <v/>
      </c>
      <c r="G30" s="6" t="str">
        <f t="shared" si="2"/>
        <v/>
      </c>
      <c r="H30" s="6" t="str">
        <f t="shared" si="3"/>
        <v/>
      </c>
      <c r="I30" s="6" t="str">
        <f t="shared" si="4"/>
        <v/>
      </c>
      <c r="J30" s="6" t="str">
        <f t="shared" si="5"/>
        <v/>
      </c>
      <c r="K30" s="2" t="str">
        <f t="shared" si="6"/>
        <v/>
      </c>
    </row>
    <row r="31" spans="1:11" ht="22" customHeight="1">
      <c r="A31" s="2">
        <v>23</v>
      </c>
      <c r="B31" s="3"/>
      <c r="C31" s="4"/>
      <c r="D31" s="4"/>
      <c r="E31" s="5" t="str">
        <f t="shared" si="0"/>
        <v/>
      </c>
      <c r="F31" s="6" t="str">
        <f t="shared" si="1"/>
        <v/>
      </c>
      <c r="G31" s="6" t="str">
        <f t="shared" si="2"/>
        <v/>
      </c>
      <c r="H31" s="6" t="str">
        <f t="shared" si="3"/>
        <v/>
      </c>
      <c r="I31" s="6" t="str">
        <f t="shared" si="4"/>
        <v/>
      </c>
      <c r="J31" s="6" t="str">
        <f t="shared" si="5"/>
        <v/>
      </c>
      <c r="K31" s="2" t="str">
        <f t="shared" si="6"/>
        <v/>
      </c>
    </row>
    <row r="32" spans="1:11" ht="22" customHeight="1">
      <c r="A32" s="2">
        <v>24</v>
      </c>
      <c r="B32" s="3"/>
      <c r="C32" s="4"/>
      <c r="D32" s="4"/>
      <c r="E32" s="5" t="str">
        <f t="shared" si="0"/>
        <v/>
      </c>
      <c r="F32" s="6" t="str">
        <f t="shared" si="1"/>
        <v/>
      </c>
      <c r="G32" s="6" t="str">
        <f t="shared" si="2"/>
        <v/>
      </c>
      <c r="H32" s="6" t="str">
        <f t="shared" si="3"/>
        <v/>
      </c>
      <c r="I32" s="6" t="str">
        <f t="shared" si="4"/>
        <v/>
      </c>
      <c r="J32" s="6" t="str">
        <f t="shared" si="5"/>
        <v/>
      </c>
      <c r="K32" s="2" t="str">
        <f t="shared" si="6"/>
        <v/>
      </c>
    </row>
    <row r="33" spans="1:11" ht="22" customHeight="1">
      <c r="A33" s="2">
        <v>25</v>
      </c>
      <c r="B33" s="3"/>
      <c r="C33" s="4"/>
      <c r="D33" s="4"/>
      <c r="E33" s="5" t="str">
        <f t="shared" si="0"/>
        <v/>
      </c>
      <c r="F33" s="6" t="str">
        <f t="shared" si="1"/>
        <v/>
      </c>
      <c r="G33" s="6" t="str">
        <f t="shared" si="2"/>
        <v/>
      </c>
      <c r="H33" s="6" t="str">
        <f t="shared" si="3"/>
        <v/>
      </c>
      <c r="I33" s="6" t="str">
        <f t="shared" si="4"/>
        <v/>
      </c>
      <c r="J33" s="6" t="str">
        <f t="shared" si="5"/>
        <v/>
      </c>
      <c r="K33" s="2" t="str">
        <f t="shared" si="6"/>
        <v/>
      </c>
    </row>
    <row r="34" spans="1:11" ht="22" customHeight="1">
      <c r="A34" s="19" t="s">
        <v>25</v>
      </c>
      <c r="B34" s="19"/>
      <c r="C34" s="8">
        <f>SUM(C9:C33)</f>
        <v>390</v>
      </c>
      <c r="D34" s="8">
        <f>SUM(D9:D33)</f>
        <v>85</v>
      </c>
      <c r="E34" s="8">
        <f>IF(C34=0,"",C34-D34)</f>
        <v>305</v>
      </c>
      <c r="F34" s="9">
        <f>IF(C34=0,"",D34/C34)</f>
        <v>0.21794871794871795</v>
      </c>
      <c r="G34" s="9"/>
      <c r="H34" s="9">
        <f>IF(C34=0,"",$N$5)</f>
        <v>0.21794871794871795</v>
      </c>
      <c r="I34" s="9"/>
      <c r="J34" s="9"/>
      <c r="K34" s="7"/>
    </row>
    <row r="37" spans="1:11">
      <c r="A37" s="21" t="s">
        <v>26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>
      <c r="A38" s="14" t="s">
        <v>27</v>
      </c>
      <c r="B38" s="14" t="s">
        <v>28</v>
      </c>
      <c r="C38" s="14" t="s">
        <v>29</v>
      </c>
      <c r="E38" s="22" t="s">
        <v>30</v>
      </c>
      <c r="F38" s="22"/>
      <c r="G38" s="22"/>
      <c r="H38" s="22"/>
      <c r="I38" s="22"/>
      <c r="J38" s="22"/>
      <c r="K38" s="22"/>
    </row>
    <row r="39" spans="1:11" ht="28" customHeight="1">
      <c r="A39" s="10" t="s">
        <v>31</v>
      </c>
      <c r="B39" s="10" t="s">
        <v>32</v>
      </c>
      <c r="C39" s="10" t="s">
        <v>33</v>
      </c>
      <c r="E39" s="23" t="s">
        <v>34</v>
      </c>
      <c r="F39" s="23"/>
      <c r="G39" s="23"/>
      <c r="H39" s="23"/>
      <c r="I39" s="23"/>
      <c r="J39" s="23"/>
      <c r="K39" s="23"/>
    </row>
    <row r="40" spans="1:11" ht="28" customHeight="1">
      <c r="A40" s="10" t="s">
        <v>35</v>
      </c>
      <c r="B40" s="10" t="s">
        <v>36</v>
      </c>
      <c r="C40" s="10" t="s">
        <v>37</v>
      </c>
      <c r="E40" s="23"/>
      <c r="F40" s="23"/>
      <c r="G40" s="23"/>
      <c r="H40" s="23"/>
      <c r="I40" s="23"/>
      <c r="J40" s="23"/>
      <c r="K40" s="23"/>
    </row>
    <row r="41" spans="1:11" ht="34" customHeight="1">
      <c r="A41" s="10" t="s">
        <v>38</v>
      </c>
      <c r="B41" s="10" t="s">
        <v>39</v>
      </c>
      <c r="C41" s="10" t="s">
        <v>40</v>
      </c>
    </row>
    <row r="42" spans="1:11" ht="26" customHeight="1">
      <c r="A42" s="10" t="s">
        <v>41</v>
      </c>
      <c r="B42" s="10" t="s">
        <v>42</v>
      </c>
      <c r="C42" s="10" t="s">
        <v>43</v>
      </c>
      <c r="E42" s="24" t="s">
        <v>44</v>
      </c>
      <c r="F42" s="24"/>
      <c r="G42" s="24"/>
      <c r="H42" s="24"/>
      <c r="I42" s="24"/>
      <c r="J42" s="24"/>
      <c r="K42" s="24"/>
    </row>
    <row r="43" spans="1:11" ht="26" customHeight="1">
      <c r="A43" s="10" t="s">
        <v>45</v>
      </c>
      <c r="B43" s="10" t="s">
        <v>46</v>
      </c>
      <c r="C43" s="10" t="s">
        <v>47</v>
      </c>
      <c r="E43" s="24"/>
      <c r="F43" s="24"/>
      <c r="G43" s="24"/>
      <c r="H43" s="24"/>
      <c r="I43" s="24"/>
      <c r="J43" s="24"/>
      <c r="K43" s="24"/>
    </row>
    <row r="44" spans="1:11" ht="26" customHeight="1">
      <c r="A44" s="10" t="s">
        <v>48</v>
      </c>
      <c r="B44" s="10" t="s">
        <v>49</v>
      </c>
      <c r="C44" s="10" t="s">
        <v>50</v>
      </c>
      <c r="E44" s="24"/>
      <c r="F44" s="24"/>
      <c r="G44" s="24"/>
      <c r="H44" s="24"/>
      <c r="I44" s="24"/>
      <c r="J44" s="24"/>
      <c r="K44" s="24"/>
    </row>
  </sheetData>
  <mergeCells count="10">
    <mergeCell ref="M2:N2"/>
    <mergeCell ref="A37:K37"/>
    <mergeCell ref="E38:K38"/>
    <mergeCell ref="E39:K40"/>
    <mergeCell ref="E42:K44"/>
    <mergeCell ref="A1:K1"/>
    <mergeCell ref="A2:K2"/>
    <mergeCell ref="A3:K3"/>
    <mergeCell ref="A5:K5"/>
    <mergeCell ref="A34:B34"/>
  </mergeCells>
  <conditionalFormatting sqref="D9:D33">
    <cfRule type="expression" dxfId="3" priority="4">
      <formula>AND($C9&lt;&gt;"",$D9&gt;$C9)</formula>
    </cfRule>
  </conditionalFormatting>
  <conditionalFormatting sqref="K9:K33">
    <cfRule type="containsText" dxfId="2" priority="1" operator="containsText" text="IN CONTROL"/>
    <cfRule type="containsText" dxfId="1" priority="2" operator="containsText" text="OUT OF CONTROL"/>
    <cfRule type="containsText" dxfId="0" priority="3" operator="containsText" text="CHECK INPUT"/>
  </conditionalFormatting>
  <dataValidations count="2">
    <dataValidation type="whole" sqref="C9:C33" xr:uid="{00000000-0002-0000-0000-000000000000}">
      <formula1>1</formula1>
      <formula2>100000</formula2>
    </dataValidation>
    <dataValidation type="whole" sqref="D9:D33" xr:uid="{00000000-0002-0000-0000-000001000000}">
      <formula1>0</formula1>
      <formula2>100000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Colour P-Chart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semor Adawudu</cp:lastModifiedBy>
  <dcterms:created xsi:type="dcterms:W3CDTF">2026-09-23T12:59:39Z</dcterms:created>
  <dcterms:modified xsi:type="dcterms:W3CDTF">2026-09-23T12:59:40Z</dcterms:modified>
</cp:coreProperties>
</file>