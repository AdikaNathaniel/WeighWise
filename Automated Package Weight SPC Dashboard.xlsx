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/Downloads/"/>
    </mc:Choice>
  </mc:AlternateContent>
  <xr:revisionPtr revIDLastSave="0" documentId="8_{9C7EDE15-4AF3-8643-8860-41B6D3B94AE2}" xr6:coauthVersionLast="47" xr6:coauthVersionMax="47" xr10:uidLastSave="{00000000-0000-0000-0000-000000000000}"/>
  <bookViews>
    <workbookView xWindow="0" yWindow="480" windowWidth="23040" windowHeight="12480" xr2:uid="{1C3ED688-97B2-9C48-A622-DC18065987A1}"/>
  </bookViews>
  <sheets>
    <sheet name="Package Weight" sheetId="2" r:id="rId1"/>
    <sheet name="SPC Calculator" sheetId="3" r:id="rId2"/>
    <sheet name="Control chart" sheetId="4" r:id="rId3"/>
  </sheets>
  <externalReferences>
    <externalReference r:id="rId4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3" l="1"/>
  <c r="D32" i="3"/>
  <c r="D31" i="3"/>
  <c r="D29" i="3"/>
  <c r="D28" i="3"/>
  <c r="D27" i="3"/>
  <c r="B12" i="3"/>
  <c r="B11" i="3"/>
  <c r="B10" i="3"/>
  <c r="B7" i="3"/>
  <c r="B6" i="3"/>
  <c r="B22" i="3"/>
  <c r="M21" i="2"/>
  <c r="L21" i="2"/>
  <c r="K21" i="2"/>
  <c r="J21" i="2"/>
  <c r="I21" i="2"/>
  <c r="H21" i="2"/>
  <c r="G21" i="2"/>
  <c r="F21" i="2"/>
  <c r="M20" i="2"/>
  <c r="L20" i="2"/>
  <c r="K20" i="2"/>
  <c r="J20" i="2"/>
  <c r="I20" i="2"/>
  <c r="H20" i="2"/>
  <c r="G20" i="2"/>
  <c r="F20" i="2"/>
  <c r="M19" i="2"/>
  <c r="L19" i="2"/>
  <c r="K19" i="2"/>
  <c r="J19" i="2"/>
  <c r="I19" i="2"/>
  <c r="H19" i="2"/>
  <c r="G19" i="2"/>
  <c r="F19" i="2"/>
  <c r="M18" i="2"/>
  <c r="L18" i="2"/>
  <c r="K18" i="2"/>
  <c r="J18" i="2"/>
  <c r="I18" i="2"/>
  <c r="H18" i="2"/>
  <c r="G18" i="2"/>
  <c r="F18" i="2"/>
  <c r="M17" i="2"/>
  <c r="L17" i="2"/>
  <c r="K17" i="2"/>
  <c r="J17" i="2"/>
  <c r="I17" i="2"/>
  <c r="H17" i="2"/>
  <c r="G17" i="2"/>
  <c r="F17" i="2"/>
  <c r="M16" i="2"/>
  <c r="L16" i="2"/>
  <c r="K16" i="2"/>
  <c r="J16" i="2"/>
  <c r="I16" i="2"/>
  <c r="H16" i="2"/>
  <c r="G16" i="2"/>
  <c r="F16" i="2"/>
  <c r="M15" i="2"/>
  <c r="L15" i="2"/>
  <c r="K15" i="2"/>
  <c r="J15" i="2"/>
  <c r="I15" i="2"/>
  <c r="H15" i="2"/>
  <c r="G15" i="2"/>
  <c r="F15" i="2"/>
  <c r="M14" i="2"/>
  <c r="L14" i="2"/>
  <c r="K14" i="2"/>
  <c r="J14" i="2"/>
  <c r="I14" i="2"/>
  <c r="H14" i="2"/>
  <c r="G14" i="2"/>
  <c r="F14" i="2"/>
  <c r="M13" i="2"/>
  <c r="L13" i="2"/>
  <c r="K13" i="2"/>
  <c r="J13" i="2"/>
  <c r="I13" i="2"/>
  <c r="H13" i="2"/>
  <c r="G13" i="2"/>
  <c r="F13" i="2"/>
  <c r="M12" i="2"/>
  <c r="L12" i="2"/>
  <c r="K12" i="2"/>
  <c r="J12" i="2"/>
  <c r="I12" i="2"/>
  <c r="H12" i="2"/>
  <c r="G12" i="2"/>
  <c r="F12" i="2"/>
  <c r="M11" i="2"/>
  <c r="L11" i="2"/>
  <c r="K11" i="2"/>
  <c r="J11" i="2"/>
  <c r="I11" i="2"/>
  <c r="H11" i="2"/>
  <c r="G11" i="2"/>
  <c r="F11" i="2"/>
  <c r="M10" i="2"/>
  <c r="L10" i="2"/>
  <c r="K10" i="2"/>
  <c r="J10" i="2"/>
  <c r="I10" i="2"/>
  <c r="H10" i="2"/>
  <c r="G10" i="2"/>
  <c r="F10" i="2"/>
  <c r="M9" i="2"/>
  <c r="L9" i="2"/>
  <c r="K9" i="2"/>
  <c r="J9" i="2"/>
  <c r="I9" i="2"/>
  <c r="H9" i="2"/>
  <c r="G9" i="2"/>
  <c r="F9" i="2"/>
  <c r="M8" i="2"/>
  <c r="L8" i="2"/>
  <c r="K8" i="2"/>
  <c r="J8" i="2"/>
  <c r="I8" i="2"/>
  <c r="H8" i="2"/>
  <c r="G8" i="2"/>
  <c r="F8" i="2"/>
  <c r="M7" i="2"/>
  <c r="L7" i="2"/>
  <c r="K7" i="2"/>
  <c r="J7" i="2"/>
  <c r="I7" i="2"/>
  <c r="H7" i="2"/>
  <c r="G7" i="2"/>
  <c r="F7" i="2"/>
  <c r="M6" i="2"/>
  <c r="L6" i="2"/>
  <c r="K6" i="2"/>
  <c r="J6" i="2"/>
  <c r="I6" i="2"/>
  <c r="H6" i="2"/>
  <c r="G6" i="2"/>
  <c r="F6" i="2"/>
  <c r="M5" i="2"/>
  <c r="L5" i="2"/>
  <c r="K5" i="2"/>
  <c r="J5" i="2"/>
  <c r="I5" i="2"/>
  <c r="H5" i="2"/>
  <c r="G5" i="2"/>
  <c r="F5" i="2"/>
  <c r="M4" i="2"/>
  <c r="L4" i="2"/>
  <c r="K4" i="2"/>
  <c r="J4" i="2"/>
  <c r="I4" i="2"/>
  <c r="H4" i="2"/>
  <c r="G4" i="2"/>
  <c r="F4" i="2"/>
  <c r="M3" i="2"/>
  <c r="L3" i="2"/>
  <c r="K3" i="2"/>
  <c r="J3" i="2"/>
  <c r="I3" i="2"/>
  <c r="H3" i="2"/>
  <c r="G3" i="2"/>
  <c r="F3" i="2"/>
  <c r="M2" i="2"/>
  <c r="L2" i="2"/>
  <c r="K2" i="2"/>
  <c r="J2" i="2"/>
  <c r="I2" i="2"/>
  <c r="H2" i="2"/>
  <c r="G2" i="2"/>
  <c r="F2" i="2"/>
  <c r="B17" i="3" l="1"/>
  <c r="B15" i="3"/>
  <c r="B21" i="3"/>
  <c r="B16" i="3"/>
  <c r="B20" i="3"/>
</calcChain>
</file>

<file path=xl/sharedStrings.xml><?xml version="1.0" encoding="utf-8"?>
<sst xmlns="http://schemas.openxmlformats.org/spreadsheetml/2006/main" count="84" uniqueCount="71">
  <si>
    <t>Range</t>
  </si>
  <si>
    <t>Mean</t>
  </si>
  <si>
    <t>X-bar and R Control Chart Calculator</t>
  </si>
  <si>
    <t>Enter the subgroup sample size, grand mean and average range in the yellow cells.</t>
  </si>
  <si>
    <t>Verified NIST constants</t>
  </si>
  <si>
    <t>Inputs</t>
  </si>
  <si>
    <t>Sample size (n)</t>
  </si>
  <si>
    <t>A2</t>
  </si>
  <si>
    <t>D3</t>
  </si>
  <si>
    <t>D4</t>
  </si>
  <si>
    <t>Subgroup sample size (n)</t>
  </si>
  <si>
    <t>Grand mean (X-double-bar)</t>
  </si>
  <si>
    <t>Average range (R-bar)</t>
  </si>
  <si>
    <t>Selected constants</t>
  </si>
  <si>
    <t>X-bar chart limits</t>
  </si>
  <si>
    <t>Upper control limit (UCL)</t>
  </si>
  <si>
    <t>Source</t>
  </si>
  <si>
    <t>Centre line (CL)</t>
  </si>
  <si>
    <t>NIST/SEMATECH Engineering Statistics Handbook, Section 6.3.2.1, pp. 53–55</t>
  </si>
  <si>
    <t>Lower control limit (LCL)</t>
  </si>
  <si>
    <t>https://www.itl.nist.gov/div898/handbook/toolaids/pff/pmc.pdf</t>
  </si>
  <si>
    <t>R chart limits</t>
  </si>
  <si>
    <t>Control Chart Formula Guide</t>
  </si>
  <si>
    <t>Chart</t>
  </si>
  <si>
    <t>Limit</t>
  </si>
  <si>
    <t>Statistical formula</t>
  </si>
  <si>
    <t>Calculation using current data</t>
  </si>
  <si>
    <t>X-bar</t>
  </si>
  <si>
    <t>UCL</t>
  </si>
  <si>
    <t>CL</t>
  </si>
  <si>
    <t>CL = Grand mean</t>
  </si>
  <si>
    <t>LCL</t>
  </si>
  <si>
    <t>LCL = Grand mean − A2 × Average range</t>
  </si>
  <si>
    <t>R chart</t>
  </si>
  <si>
    <t>UCL = D4 × Average range</t>
  </si>
  <si>
    <t>CL = Average range</t>
  </si>
  <si>
    <t>LCL = D3 × Average range</t>
  </si>
  <si>
    <t>Production date</t>
  </si>
  <si>
    <t>Sample 1 (g)</t>
  </si>
  <si>
    <t>Sample 2 (g)</t>
  </si>
  <si>
    <t>Sample 3 (g)</t>
  </si>
  <si>
    <t>Sample 4 (g)</t>
  </si>
  <si>
    <t>X-bar UCL</t>
  </si>
  <si>
    <t>X-bar CL</t>
  </si>
  <si>
    <t>X-bar LCL</t>
  </si>
  <si>
    <t>R UCL</t>
  </si>
  <si>
    <t>R CL</t>
  </si>
  <si>
    <t>R LCL</t>
  </si>
  <si>
    <t>Date label</t>
  </si>
  <si>
    <t>19-Apr</t>
  </si>
  <si>
    <t>08-May</t>
  </si>
  <si>
    <t>18-May</t>
  </si>
  <si>
    <t>28-May</t>
  </si>
  <si>
    <t>11-Jun</t>
  </si>
  <si>
    <t>14-Jun</t>
  </si>
  <si>
    <t>17-Jun</t>
  </si>
  <si>
    <t>19-Jun</t>
  </si>
  <si>
    <t>23-Jun</t>
  </si>
  <si>
    <t>02-Jul</t>
  </si>
  <si>
    <t>03-Jul</t>
  </si>
  <si>
    <t>07-Jul</t>
  </si>
  <si>
    <t>10-Jul</t>
  </si>
  <si>
    <t>17-Jul</t>
  </si>
  <si>
    <t>19-Jul</t>
  </si>
  <si>
    <t>12-Aug</t>
  </si>
  <si>
    <t>15-Aug</t>
  </si>
  <si>
    <t>20-Aug</t>
  </si>
  <si>
    <t>22-Aug</t>
  </si>
  <si>
    <t>29-Aug</t>
  </si>
  <si>
    <t>TOTAL</t>
  </si>
  <si>
    <t>UCL = Grand mean +  A2 × Average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</si>
</sst>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2"/>
      <color theme="1"/>
      <name val="Calibri"/>
      <family val="2"/>
      <scheme val="minor"/>
    </font>
    <font>
      <b/>
      <sz val="15"/>
      <color rgb="FF17365D"/>
      <name val="Arial"/>
      <family val="2"/>
    </font>
    <font>
      <sz val="11"/>
      <name val="Arial"/>
      <family val="2"/>
    </font>
    <font>
      <i/>
      <sz val="10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color rgb="FF17365D"/>
      <name val="Arial"/>
      <family val="2"/>
    </font>
    <font>
      <b/>
      <sz val="10"/>
      <color rgb="FF375623"/>
      <name val="Arial"/>
      <family val="2"/>
    </font>
    <font>
      <sz val="9"/>
      <color rgb="FF595959"/>
      <name val="Arial"/>
      <family val="2"/>
    </font>
    <font>
      <b/>
      <sz val="11"/>
      <color rgb="FFFFFFFF"/>
      <name val="Arial"/>
      <family val="2"/>
    </font>
    <font>
      <sz val="10"/>
      <color rgb="FF262626"/>
      <name val="Arial"/>
      <family val="2"/>
    </font>
    <font>
      <b/>
      <sz val="18"/>
      <color rgb="FFFFFFFF"/>
      <name val="Arial"/>
      <family val="2"/>
    </font>
    <font>
      <sz val="18"/>
      <color rgb="FF262626"/>
      <name val="Arial"/>
      <family val="2"/>
    </font>
    <font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EDF4FA"/>
      </patternFill>
    </fill>
  </fills>
  <borders count="17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" fontId="2" fillId="5" borderId="3" xfId="0" applyNumberFormat="1" applyFont="1" applyFill="1" applyBorder="1" applyAlignment="1">
      <alignment vertical="center"/>
    </xf>
    <xf numFmtId="1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2" fontId="2" fillId="5" borderId="5" xfId="0" applyNumberFormat="1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2" fontId="2" fillId="5" borderId="7" xfId="0" applyNumberFormat="1" applyFont="1" applyFill="1" applyBorder="1" applyAlignment="1">
      <alignment vertical="center"/>
    </xf>
    <xf numFmtId="0" fontId="4" fillId="6" borderId="0" xfId="0" applyFont="1" applyFill="1" applyAlignment="1">
      <alignment vertical="center"/>
    </xf>
    <xf numFmtId="164" fontId="2" fillId="0" borderId="3" xfId="0" applyNumberFormat="1" applyFont="1" applyBorder="1" applyAlignment="1">
      <alignment vertical="center"/>
    </xf>
    <xf numFmtId="164" fontId="2" fillId="0" borderId="5" xfId="0" applyNumberFormat="1" applyFont="1" applyBorder="1" applyAlignment="1">
      <alignment vertical="center"/>
    </xf>
    <xf numFmtId="164" fontId="2" fillId="0" borderId="7" xfId="0" applyNumberFormat="1" applyFont="1" applyBorder="1" applyAlignment="1">
      <alignment vertical="center"/>
    </xf>
    <xf numFmtId="2" fontId="2" fillId="0" borderId="3" xfId="0" applyNumberFormat="1" applyFont="1" applyBorder="1" applyAlignment="1">
      <alignment vertical="center"/>
    </xf>
    <xf numFmtId="0" fontId="6" fillId="7" borderId="0" xfId="0" applyFont="1" applyFill="1" applyAlignment="1">
      <alignment vertical="center"/>
    </xf>
    <xf numFmtId="2" fontId="2" fillId="0" borderId="5" xfId="0" applyNumberFormat="1" applyFont="1" applyBorder="1" applyAlignment="1">
      <alignment vertical="center"/>
    </xf>
    <xf numFmtId="0" fontId="7" fillId="0" borderId="0" xfId="0" applyFont="1" applyAlignment="1">
      <alignment vertical="center" wrapText="1"/>
    </xf>
    <xf numFmtId="2" fontId="2" fillId="0" borderId="7" xfId="0" applyNumberFormat="1" applyFont="1" applyBorder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2" fillId="0" borderId="0" xfId="0" applyFont="1"/>
    <xf numFmtId="0" fontId="10" fillId="3" borderId="0" xfId="0" applyFont="1" applyFill="1" applyAlignment="1">
      <alignment horizontal="center" vertical="center" wrapText="1"/>
    </xf>
    <xf numFmtId="14" fontId="11" fillId="8" borderId="9" xfId="0" applyNumberFormat="1" applyFont="1" applyFill="1" applyBorder="1" applyAlignment="1">
      <alignment vertical="center"/>
    </xf>
    <xf numFmtId="2" fontId="11" fillId="8" borderId="10" xfId="0" applyNumberFormat="1" applyFont="1" applyFill="1" applyBorder="1" applyAlignment="1">
      <alignment vertical="center"/>
    </xf>
    <xf numFmtId="0" fontId="11" fillId="8" borderId="11" xfId="0" applyFont="1" applyFill="1" applyBorder="1" applyAlignment="1">
      <alignment vertical="center"/>
    </xf>
    <xf numFmtId="14" fontId="11" fillId="0" borderId="12" xfId="0" applyNumberFormat="1" applyFont="1" applyBorder="1" applyAlignment="1">
      <alignment vertical="center"/>
    </xf>
    <xf numFmtId="2" fontId="11" fillId="0" borderId="8" xfId="0" applyNumberFormat="1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14" fontId="11" fillId="8" borderId="12" xfId="0" applyNumberFormat="1" applyFont="1" applyFill="1" applyBorder="1" applyAlignment="1">
      <alignment vertical="center"/>
    </xf>
    <xf numFmtId="2" fontId="11" fillId="8" borderId="8" xfId="0" applyNumberFormat="1" applyFont="1" applyFill="1" applyBorder="1" applyAlignment="1">
      <alignment vertical="center"/>
    </xf>
    <xf numFmtId="0" fontId="11" fillId="8" borderId="13" xfId="0" applyFont="1" applyFill="1" applyBorder="1" applyAlignment="1">
      <alignment vertical="center"/>
    </xf>
    <xf numFmtId="14" fontId="11" fillId="0" borderId="14" xfId="0" applyNumberFormat="1" applyFont="1" applyBorder="1" applyAlignment="1">
      <alignment vertical="center"/>
    </xf>
    <xf numFmtId="2" fontId="11" fillId="0" borderId="15" xfId="0" applyNumberFormat="1" applyFont="1" applyBorder="1" applyAlignment="1">
      <alignment vertical="center"/>
    </xf>
    <xf numFmtId="0" fontId="11" fillId="0" borderId="1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>
                <a:latin typeface="Times New Roman" panose="02020603050405020304" pitchFamily="18" charset="0"/>
                <a:cs typeface="Times New Roman" panose="02020603050405020304" pitchFamily="18" charset="0"/>
              </a:rPr>
              <a:t>X-bar Control for Package Weight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lotArea>
      <c:layout>
        <c:manualLayout>
          <c:layoutTarget val="inner"/>
          <c:xMode val="edge"/>
          <c:yMode val="edge"/>
          <c:x val="0.10814695808763815"/>
          <c:y val="0.34244591271516928"/>
          <c:w val="0.85856955380577427"/>
          <c:h val="0.46483668708078157"/>
        </c:manualLayout>
      </c:layout>
      <c:lineChart>
        <c:grouping val="standard"/>
        <c:varyColors val="0"/>
        <c:ser>
          <c:idx val="0"/>
          <c:order val="0"/>
          <c:tx>
            <c:strRef>
              <c:f>'Package Weight'!$G$1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'Package Weight'!$A$2:$A$21</c:f>
              <c:numCache>
                <c:formatCode>m/d/yy</c:formatCode>
                <c:ptCount val="20"/>
                <c:pt idx="0">
                  <c:v>46131</c:v>
                </c:pt>
                <c:pt idx="1">
                  <c:v>46150</c:v>
                </c:pt>
                <c:pt idx="2">
                  <c:v>46160</c:v>
                </c:pt>
                <c:pt idx="3">
                  <c:v>46170</c:v>
                </c:pt>
                <c:pt idx="4">
                  <c:v>46184</c:v>
                </c:pt>
                <c:pt idx="5">
                  <c:v>46187</c:v>
                </c:pt>
                <c:pt idx="6">
                  <c:v>46190</c:v>
                </c:pt>
                <c:pt idx="7">
                  <c:v>46192</c:v>
                </c:pt>
                <c:pt idx="8">
                  <c:v>46196</c:v>
                </c:pt>
                <c:pt idx="9">
                  <c:v>46205</c:v>
                </c:pt>
                <c:pt idx="10">
                  <c:v>46206</c:v>
                </c:pt>
                <c:pt idx="11">
                  <c:v>46210</c:v>
                </c:pt>
                <c:pt idx="12">
                  <c:v>46213</c:v>
                </c:pt>
                <c:pt idx="13">
                  <c:v>46220</c:v>
                </c:pt>
                <c:pt idx="14">
                  <c:v>46222</c:v>
                </c:pt>
                <c:pt idx="15">
                  <c:v>46246</c:v>
                </c:pt>
                <c:pt idx="16">
                  <c:v>46249</c:v>
                </c:pt>
                <c:pt idx="17">
                  <c:v>46254</c:v>
                </c:pt>
                <c:pt idx="18">
                  <c:v>46256</c:v>
                </c:pt>
                <c:pt idx="19">
                  <c:v>46263</c:v>
                </c:pt>
              </c:numCache>
            </c:numRef>
          </c:cat>
          <c:val>
            <c:numRef>
              <c:f>'Package Weight'!$G$2:$G$21</c:f>
              <c:numCache>
                <c:formatCode>0.00</c:formatCode>
                <c:ptCount val="20"/>
                <c:pt idx="0">
                  <c:v>491.79249999999996</c:v>
                </c:pt>
                <c:pt idx="1">
                  <c:v>436.77249999999998</c:v>
                </c:pt>
                <c:pt idx="2">
                  <c:v>447.33500000000004</c:v>
                </c:pt>
                <c:pt idx="3">
                  <c:v>437.69</c:v>
                </c:pt>
                <c:pt idx="4">
                  <c:v>420.71749999999997</c:v>
                </c:pt>
                <c:pt idx="5">
                  <c:v>507.17000000000007</c:v>
                </c:pt>
                <c:pt idx="6">
                  <c:v>462.80250000000001</c:v>
                </c:pt>
                <c:pt idx="7">
                  <c:v>456.255</c:v>
                </c:pt>
                <c:pt idx="8">
                  <c:v>442.435</c:v>
                </c:pt>
                <c:pt idx="9">
                  <c:v>407.03500000000003</c:v>
                </c:pt>
                <c:pt idx="10">
                  <c:v>387.27750000000003</c:v>
                </c:pt>
                <c:pt idx="11">
                  <c:v>525.27499999999998</c:v>
                </c:pt>
                <c:pt idx="12">
                  <c:v>588.15</c:v>
                </c:pt>
                <c:pt idx="13">
                  <c:v>596.21499999999992</c:v>
                </c:pt>
                <c:pt idx="14">
                  <c:v>443.38749999999999</c:v>
                </c:pt>
                <c:pt idx="15">
                  <c:v>450.57</c:v>
                </c:pt>
                <c:pt idx="16">
                  <c:v>418.17</c:v>
                </c:pt>
                <c:pt idx="17">
                  <c:v>437.70499999999998</c:v>
                </c:pt>
                <c:pt idx="18">
                  <c:v>461.21249999999998</c:v>
                </c:pt>
                <c:pt idx="19">
                  <c:v>464.51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0F-7E40-BBCB-5BCCAA9DEA46}"/>
            </c:ext>
          </c:extLst>
        </c:ser>
        <c:ser>
          <c:idx val="1"/>
          <c:order val="1"/>
          <c:tx>
            <c:strRef>
              <c:f>'Package Weight'!$H$1</c:f>
              <c:strCache>
                <c:ptCount val="1"/>
                <c:pt idx="0">
                  <c:v>X-bar 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'Package Weight'!$A$2:$A$21</c:f>
              <c:numCache>
                <c:formatCode>m/d/yy</c:formatCode>
                <c:ptCount val="20"/>
                <c:pt idx="0">
                  <c:v>46131</c:v>
                </c:pt>
                <c:pt idx="1">
                  <c:v>46150</c:v>
                </c:pt>
                <c:pt idx="2">
                  <c:v>46160</c:v>
                </c:pt>
                <c:pt idx="3">
                  <c:v>46170</c:v>
                </c:pt>
                <c:pt idx="4">
                  <c:v>46184</c:v>
                </c:pt>
                <c:pt idx="5">
                  <c:v>46187</c:v>
                </c:pt>
                <c:pt idx="6">
                  <c:v>46190</c:v>
                </c:pt>
                <c:pt idx="7">
                  <c:v>46192</c:v>
                </c:pt>
                <c:pt idx="8">
                  <c:v>46196</c:v>
                </c:pt>
                <c:pt idx="9">
                  <c:v>46205</c:v>
                </c:pt>
                <c:pt idx="10">
                  <c:v>46206</c:v>
                </c:pt>
                <c:pt idx="11">
                  <c:v>46210</c:v>
                </c:pt>
                <c:pt idx="12">
                  <c:v>46213</c:v>
                </c:pt>
                <c:pt idx="13">
                  <c:v>46220</c:v>
                </c:pt>
                <c:pt idx="14">
                  <c:v>46222</c:v>
                </c:pt>
                <c:pt idx="15">
                  <c:v>46246</c:v>
                </c:pt>
                <c:pt idx="16">
                  <c:v>46249</c:v>
                </c:pt>
                <c:pt idx="17">
                  <c:v>46254</c:v>
                </c:pt>
                <c:pt idx="18">
                  <c:v>46256</c:v>
                </c:pt>
                <c:pt idx="19">
                  <c:v>46263</c:v>
                </c:pt>
              </c:numCache>
            </c:numRef>
          </c:cat>
          <c:val>
            <c:numRef>
              <c:f>'Package Weight'!$H$2:$H$21</c:f>
              <c:numCache>
                <c:formatCode>0.00</c:formatCode>
                <c:ptCount val="20"/>
                <c:pt idx="0">
                  <c:v>505.08674949999994</c:v>
                </c:pt>
                <c:pt idx="1">
                  <c:v>505.08674949999994</c:v>
                </c:pt>
                <c:pt idx="2">
                  <c:v>505.08674949999994</c:v>
                </c:pt>
                <c:pt idx="3">
                  <c:v>505.08674949999994</c:v>
                </c:pt>
                <c:pt idx="4">
                  <c:v>505.08674949999994</c:v>
                </c:pt>
                <c:pt idx="5">
                  <c:v>505.08674949999994</c:v>
                </c:pt>
                <c:pt idx="6">
                  <c:v>505.08674949999994</c:v>
                </c:pt>
                <c:pt idx="7">
                  <c:v>505.08674949999994</c:v>
                </c:pt>
                <c:pt idx="8">
                  <c:v>505.08674949999994</c:v>
                </c:pt>
                <c:pt idx="9">
                  <c:v>505.08674949999994</c:v>
                </c:pt>
                <c:pt idx="10">
                  <c:v>505.08674949999994</c:v>
                </c:pt>
                <c:pt idx="11">
                  <c:v>505.08674949999994</c:v>
                </c:pt>
                <c:pt idx="12">
                  <c:v>505.08674949999994</c:v>
                </c:pt>
                <c:pt idx="13">
                  <c:v>505.08674949999994</c:v>
                </c:pt>
                <c:pt idx="14">
                  <c:v>505.08674949999994</c:v>
                </c:pt>
                <c:pt idx="15">
                  <c:v>505.08674949999994</c:v>
                </c:pt>
                <c:pt idx="16">
                  <c:v>505.08674949999994</c:v>
                </c:pt>
                <c:pt idx="17">
                  <c:v>505.08674949999994</c:v>
                </c:pt>
                <c:pt idx="18">
                  <c:v>505.08674949999994</c:v>
                </c:pt>
                <c:pt idx="19">
                  <c:v>505.08674949999994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0F-7E40-BBCB-5BCCAA9DEA46}"/>
            </c:ext>
          </c:extLst>
        </c:ser>
        <c:ser>
          <c:idx val="2"/>
          <c:order val="2"/>
          <c:tx>
            <c:strRef>
              <c:f>'Package Weight'!$I$1</c:f>
              <c:strCache>
                <c:ptCount val="1"/>
                <c:pt idx="0">
                  <c:v>X-bar 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'Package Weight'!$A$2:$A$21</c:f>
              <c:numCache>
                <c:formatCode>m/d/yy</c:formatCode>
                <c:ptCount val="20"/>
                <c:pt idx="0">
                  <c:v>46131</c:v>
                </c:pt>
                <c:pt idx="1">
                  <c:v>46150</c:v>
                </c:pt>
                <c:pt idx="2">
                  <c:v>46160</c:v>
                </c:pt>
                <c:pt idx="3">
                  <c:v>46170</c:v>
                </c:pt>
                <c:pt idx="4">
                  <c:v>46184</c:v>
                </c:pt>
                <c:pt idx="5">
                  <c:v>46187</c:v>
                </c:pt>
                <c:pt idx="6">
                  <c:v>46190</c:v>
                </c:pt>
                <c:pt idx="7">
                  <c:v>46192</c:v>
                </c:pt>
                <c:pt idx="8">
                  <c:v>46196</c:v>
                </c:pt>
                <c:pt idx="9">
                  <c:v>46205</c:v>
                </c:pt>
                <c:pt idx="10">
                  <c:v>46206</c:v>
                </c:pt>
                <c:pt idx="11">
                  <c:v>46210</c:v>
                </c:pt>
                <c:pt idx="12">
                  <c:v>46213</c:v>
                </c:pt>
                <c:pt idx="13">
                  <c:v>46220</c:v>
                </c:pt>
                <c:pt idx="14">
                  <c:v>46222</c:v>
                </c:pt>
                <c:pt idx="15">
                  <c:v>46246</c:v>
                </c:pt>
                <c:pt idx="16">
                  <c:v>46249</c:v>
                </c:pt>
                <c:pt idx="17">
                  <c:v>46254</c:v>
                </c:pt>
                <c:pt idx="18">
                  <c:v>46256</c:v>
                </c:pt>
                <c:pt idx="19">
                  <c:v>46263</c:v>
                </c:pt>
              </c:numCache>
            </c:numRef>
          </c:cat>
          <c:val>
            <c:numRef>
              <c:f>'Package Weight'!$I$2:$I$21</c:f>
              <c:numCache>
                <c:formatCode>0.00</c:formatCode>
                <c:ptCount val="20"/>
                <c:pt idx="0">
                  <c:v>464.12387499999994</c:v>
                </c:pt>
                <c:pt idx="1">
                  <c:v>464.12387499999994</c:v>
                </c:pt>
                <c:pt idx="2">
                  <c:v>464.12387499999994</c:v>
                </c:pt>
                <c:pt idx="3">
                  <c:v>464.12387499999994</c:v>
                </c:pt>
                <c:pt idx="4">
                  <c:v>464.12387499999994</c:v>
                </c:pt>
                <c:pt idx="5">
                  <c:v>464.12387499999994</c:v>
                </c:pt>
                <c:pt idx="6">
                  <c:v>464.12387499999994</c:v>
                </c:pt>
                <c:pt idx="7">
                  <c:v>464.12387499999994</c:v>
                </c:pt>
                <c:pt idx="8">
                  <c:v>464.12387499999994</c:v>
                </c:pt>
                <c:pt idx="9">
                  <c:v>464.12387499999994</c:v>
                </c:pt>
                <c:pt idx="10">
                  <c:v>464.12387499999994</c:v>
                </c:pt>
                <c:pt idx="11">
                  <c:v>464.12387499999994</c:v>
                </c:pt>
                <c:pt idx="12">
                  <c:v>464.12387499999994</c:v>
                </c:pt>
                <c:pt idx="13">
                  <c:v>464.12387499999994</c:v>
                </c:pt>
                <c:pt idx="14">
                  <c:v>464.12387499999994</c:v>
                </c:pt>
                <c:pt idx="15">
                  <c:v>464.12387499999994</c:v>
                </c:pt>
                <c:pt idx="16">
                  <c:v>464.12387499999994</c:v>
                </c:pt>
                <c:pt idx="17">
                  <c:v>464.12387499999994</c:v>
                </c:pt>
                <c:pt idx="18">
                  <c:v>464.12387499999994</c:v>
                </c:pt>
                <c:pt idx="19">
                  <c:v>464.12387499999994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0F-7E40-BBCB-5BCCAA9DEA46}"/>
            </c:ext>
          </c:extLst>
        </c:ser>
        <c:ser>
          <c:idx val="3"/>
          <c:order val="3"/>
          <c:tx>
            <c:strRef>
              <c:f>'Package Weight'!$J$1</c:f>
              <c:strCache>
                <c:ptCount val="1"/>
                <c:pt idx="0">
                  <c:v>X-bar LCL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'Package Weight'!$A$2:$A$21</c:f>
              <c:numCache>
                <c:formatCode>m/d/yy</c:formatCode>
                <c:ptCount val="20"/>
                <c:pt idx="0">
                  <c:v>46131</c:v>
                </c:pt>
                <c:pt idx="1">
                  <c:v>46150</c:v>
                </c:pt>
                <c:pt idx="2">
                  <c:v>46160</c:v>
                </c:pt>
                <c:pt idx="3">
                  <c:v>46170</c:v>
                </c:pt>
                <c:pt idx="4">
                  <c:v>46184</c:v>
                </c:pt>
                <c:pt idx="5">
                  <c:v>46187</c:v>
                </c:pt>
                <c:pt idx="6">
                  <c:v>46190</c:v>
                </c:pt>
                <c:pt idx="7">
                  <c:v>46192</c:v>
                </c:pt>
                <c:pt idx="8">
                  <c:v>46196</c:v>
                </c:pt>
                <c:pt idx="9">
                  <c:v>46205</c:v>
                </c:pt>
                <c:pt idx="10">
                  <c:v>46206</c:v>
                </c:pt>
                <c:pt idx="11">
                  <c:v>46210</c:v>
                </c:pt>
                <c:pt idx="12">
                  <c:v>46213</c:v>
                </c:pt>
                <c:pt idx="13">
                  <c:v>46220</c:v>
                </c:pt>
                <c:pt idx="14">
                  <c:v>46222</c:v>
                </c:pt>
                <c:pt idx="15">
                  <c:v>46246</c:v>
                </c:pt>
                <c:pt idx="16">
                  <c:v>46249</c:v>
                </c:pt>
                <c:pt idx="17">
                  <c:v>46254</c:v>
                </c:pt>
                <c:pt idx="18">
                  <c:v>46256</c:v>
                </c:pt>
                <c:pt idx="19">
                  <c:v>46263</c:v>
                </c:pt>
              </c:numCache>
            </c:numRef>
          </c:cat>
          <c:val>
            <c:numRef>
              <c:f>'Package Weight'!$J$2:$J$21</c:f>
              <c:numCache>
                <c:formatCode>0.00</c:formatCode>
                <c:ptCount val="20"/>
                <c:pt idx="0">
                  <c:v>423.16100049999994</c:v>
                </c:pt>
                <c:pt idx="1">
                  <c:v>423.16100049999994</c:v>
                </c:pt>
                <c:pt idx="2">
                  <c:v>423.16100049999994</c:v>
                </c:pt>
                <c:pt idx="3">
                  <c:v>423.16100049999994</c:v>
                </c:pt>
                <c:pt idx="4">
                  <c:v>423.16100049999994</c:v>
                </c:pt>
                <c:pt idx="5">
                  <c:v>423.16100049999994</c:v>
                </c:pt>
                <c:pt idx="6">
                  <c:v>423.16100049999994</c:v>
                </c:pt>
                <c:pt idx="7">
                  <c:v>423.16100049999994</c:v>
                </c:pt>
                <c:pt idx="8">
                  <c:v>423.16100049999994</c:v>
                </c:pt>
                <c:pt idx="9">
                  <c:v>423.16100049999994</c:v>
                </c:pt>
                <c:pt idx="10">
                  <c:v>423.16100049999994</c:v>
                </c:pt>
                <c:pt idx="11">
                  <c:v>423.16100049999994</c:v>
                </c:pt>
                <c:pt idx="12">
                  <c:v>423.16100049999994</c:v>
                </c:pt>
                <c:pt idx="13">
                  <c:v>423.16100049999994</c:v>
                </c:pt>
                <c:pt idx="14">
                  <c:v>423.16100049999994</c:v>
                </c:pt>
                <c:pt idx="15">
                  <c:v>423.16100049999994</c:v>
                </c:pt>
                <c:pt idx="16">
                  <c:v>423.16100049999994</c:v>
                </c:pt>
                <c:pt idx="17">
                  <c:v>423.16100049999994</c:v>
                </c:pt>
                <c:pt idx="18">
                  <c:v>423.16100049999994</c:v>
                </c:pt>
                <c:pt idx="19">
                  <c:v>423.16100049999994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0F-7E40-BBCB-5BCCAA9DE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2780047"/>
        <c:axId val="1160975519"/>
      </c:lineChart>
      <c:catAx>
        <c:axId val="1242780047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160975519"/>
        <c:crosses val="autoZero"/>
        <c:auto val="0"/>
        <c:lblAlgn val="ctr"/>
        <c:lblOffset val="100"/>
        <c:noMultiLvlLbl val="0"/>
      </c:catAx>
      <c:valAx>
        <c:axId val="1160975519"/>
        <c:scaling>
          <c:orientation val="minMax"/>
          <c:min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24278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/>
              <a:t>R Control chart </a:t>
            </a:r>
            <a:r>
              <a:rPr lang="en-US" sz="3200" baseline="0"/>
              <a:t> fo package weight(g)</a:t>
            </a:r>
            <a:endParaRPr lang="en-US" sz="3200"/>
          </a:p>
        </c:rich>
      </c:tx>
      <c:layout>
        <c:manualLayout>
          <c:xMode val="edge"/>
          <c:yMode val="edge"/>
          <c:x val="0.40604233325129213"/>
          <c:y val="1.4151897605749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lotArea>
      <c:layout>
        <c:manualLayout>
          <c:layoutTarget val="inner"/>
          <c:xMode val="edge"/>
          <c:yMode val="edge"/>
          <c:x val="3.3507639760001207E-2"/>
          <c:y val="0.10613607122639082"/>
          <c:w val="0.95113727386763791"/>
          <c:h val="0.8111188307343935"/>
        </c:manualLayout>
      </c:layout>
      <c:lineChart>
        <c:grouping val="standard"/>
        <c:varyColors val="0"/>
        <c:ser>
          <c:idx val="0"/>
          <c:order val="0"/>
          <c:tx>
            <c:strRef>
              <c:f>'Package Weight'!$F$1</c:f>
              <c:strCache>
                <c:ptCount val="1"/>
                <c:pt idx="0">
                  <c:v>Range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'Package Weight'!$A$2:$A$21</c:f>
              <c:numCache>
                <c:formatCode>m/d/yy</c:formatCode>
                <c:ptCount val="20"/>
                <c:pt idx="0">
                  <c:v>46131</c:v>
                </c:pt>
                <c:pt idx="1">
                  <c:v>46150</c:v>
                </c:pt>
                <c:pt idx="2">
                  <c:v>46160</c:v>
                </c:pt>
                <c:pt idx="3">
                  <c:v>46170</c:v>
                </c:pt>
                <c:pt idx="4">
                  <c:v>46184</c:v>
                </c:pt>
                <c:pt idx="5">
                  <c:v>46187</c:v>
                </c:pt>
                <c:pt idx="6">
                  <c:v>46190</c:v>
                </c:pt>
                <c:pt idx="7">
                  <c:v>46192</c:v>
                </c:pt>
                <c:pt idx="8">
                  <c:v>46196</c:v>
                </c:pt>
                <c:pt idx="9">
                  <c:v>46205</c:v>
                </c:pt>
                <c:pt idx="10">
                  <c:v>46206</c:v>
                </c:pt>
                <c:pt idx="11">
                  <c:v>46210</c:v>
                </c:pt>
                <c:pt idx="12">
                  <c:v>46213</c:v>
                </c:pt>
                <c:pt idx="13">
                  <c:v>46220</c:v>
                </c:pt>
                <c:pt idx="14">
                  <c:v>46222</c:v>
                </c:pt>
                <c:pt idx="15">
                  <c:v>46246</c:v>
                </c:pt>
                <c:pt idx="16">
                  <c:v>46249</c:v>
                </c:pt>
                <c:pt idx="17">
                  <c:v>46254</c:v>
                </c:pt>
                <c:pt idx="18">
                  <c:v>46256</c:v>
                </c:pt>
                <c:pt idx="19">
                  <c:v>46263</c:v>
                </c:pt>
              </c:numCache>
            </c:numRef>
          </c:cat>
          <c:val>
            <c:numRef>
              <c:f>'Package Weight'!$F$2:$F$21</c:f>
              <c:numCache>
                <c:formatCode>0.00</c:formatCode>
                <c:ptCount val="20"/>
                <c:pt idx="0">
                  <c:v>24.879999999999995</c:v>
                </c:pt>
                <c:pt idx="1">
                  <c:v>54.800000000000011</c:v>
                </c:pt>
                <c:pt idx="2">
                  <c:v>38.850000000000023</c:v>
                </c:pt>
                <c:pt idx="3">
                  <c:v>25.810000000000002</c:v>
                </c:pt>
                <c:pt idx="4">
                  <c:v>27.430000000000007</c:v>
                </c:pt>
                <c:pt idx="5">
                  <c:v>30.430000000000007</c:v>
                </c:pt>
                <c:pt idx="6">
                  <c:v>92.88</c:v>
                </c:pt>
                <c:pt idx="7">
                  <c:v>109.05000000000001</c:v>
                </c:pt>
                <c:pt idx="8">
                  <c:v>38.69</c:v>
                </c:pt>
                <c:pt idx="9">
                  <c:v>57.519999999999982</c:v>
                </c:pt>
                <c:pt idx="10">
                  <c:v>49.139999999999986</c:v>
                </c:pt>
                <c:pt idx="11">
                  <c:v>59.799999999999955</c:v>
                </c:pt>
                <c:pt idx="12">
                  <c:v>148.90000000000003</c:v>
                </c:pt>
                <c:pt idx="13">
                  <c:v>133.65000000000009</c:v>
                </c:pt>
                <c:pt idx="14">
                  <c:v>28.339999999999975</c:v>
                </c:pt>
                <c:pt idx="15">
                  <c:v>13.050000000000011</c:v>
                </c:pt>
                <c:pt idx="16">
                  <c:v>26.259999999999991</c:v>
                </c:pt>
                <c:pt idx="17">
                  <c:v>15.170000000000016</c:v>
                </c:pt>
                <c:pt idx="18">
                  <c:v>85.649999999999977</c:v>
                </c:pt>
                <c:pt idx="19">
                  <c:v>63.509999999999991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FD-1A42-94E5-94BB345FB5A3}"/>
            </c:ext>
          </c:extLst>
        </c:ser>
        <c:ser>
          <c:idx val="1"/>
          <c:order val="1"/>
          <c:tx>
            <c:strRef>
              <c:f>'Package Weight'!$K$1</c:f>
              <c:strCache>
                <c:ptCount val="1"/>
                <c:pt idx="0">
                  <c:v>R 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'Package Weight'!$A$2:$A$21</c:f>
              <c:numCache>
                <c:formatCode>m/d/yy</c:formatCode>
                <c:ptCount val="20"/>
                <c:pt idx="0">
                  <c:v>46131</c:v>
                </c:pt>
                <c:pt idx="1">
                  <c:v>46150</c:v>
                </c:pt>
                <c:pt idx="2">
                  <c:v>46160</c:v>
                </c:pt>
                <c:pt idx="3">
                  <c:v>46170</c:v>
                </c:pt>
                <c:pt idx="4">
                  <c:v>46184</c:v>
                </c:pt>
                <c:pt idx="5">
                  <c:v>46187</c:v>
                </c:pt>
                <c:pt idx="6">
                  <c:v>46190</c:v>
                </c:pt>
                <c:pt idx="7">
                  <c:v>46192</c:v>
                </c:pt>
                <c:pt idx="8">
                  <c:v>46196</c:v>
                </c:pt>
                <c:pt idx="9">
                  <c:v>46205</c:v>
                </c:pt>
                <c:pt idx="10">
                  <c:v>46206</c:v>
                </c:pt>
                <c:pt idx="11">
                  <c:v>46210</c:v>
                </c:pt>
                <c:pt idx="12">
                  <c:v>46213</c:v>
                </c:pt>
                <c:pt idx="13">
                  <c:v>46220</c:v>
                </c:pt>
                <c:pt idx="14">
                  <c:v>46222</c:v>
                </c:pt>
                <c:pt idx="15">
                  <c:v>46246</c:v>
                </c:pt>
                <c:pt idx="16">
                  <c:v>46249</c:v>
                </c:pt>
                <c:pt idx="17">
                  <c:v>46254</c:v>
                </c:pt>
                <c:pt idx="18">
                  <c:v>46256</c:v>
                </c:pt>
                <c:pt idx="19">
                  <c:v>46263</c:v>
                </c:pt>
              </c:numCache>
            </c:numRef>
          </c:cat>
          <c:val>
            <c:numRef>
              <c:f>'Package Weight'!$K$2:$K$21</c:f>
              <c:numCache>
                <c:formatCode>0.00</c:formatCode>
                <c:ptCount val="20"/>
                <c:pt idx="0">
                  <c:v>128.22672100000003</c:v>
                </c:pt>
                <c:pt idx="1">
                  <c:v>128.22672100000003</c:v>
                </c:pt>
                <c:pt idx="2">
                  <c:v>128.22672100000003</c:v>
                </c:pt>
                <c:pt idx="3">
                  <c:v>128.22672100000003</c:v>
                </c:pt>
                <c:pt idx="4">
                  <c:v>128.22672100000003</c:v>
                </c:pt>
                <c:pt idx="5">
                  <c:v>128.22672100000003</c:v>
                </c:pt>
                <c:pt idx="6">
                  <c:v>128.22672100000003</c:v>
                </c:pt>
                <c:pt idx="7">
                  <c:v>128.22672100000003</c:v>
                </c:pt>
                <c:pt idx="8">
                  <c:v>128.22672100000003</c:v>
                </c:pt>
                <c:pt idx="9">
                  <c:v>128.22672100000003</c:v>
                </c:pt>
                <c:pt idx="10">
                  <c:v>128.22672100000003</c:v>
                </c:pt>
                <c:pt idx="11">
                  <c:v>128.22672100000003</c:v>
                </c:pt>
                <c:pt idx="12">
                  <c:v>128.22672100000003</c:v>
                </c:pt>
                <c:pt idx="13">
                  <c:v>128.22672100000003</c:v>
                </c:pt>
                <c:pt idx="14">
                  <c:v>128.22672100000003</c:v>
                </c:pt>
                <c:pt idx="15">
                  <c:v>128.22672100000003</c:v>
                </c:pt>
                <c:pt idx="16">
                  <c:v>128.22672100000003</c:v>
                </c:pt>
                <c:pt idx="17">
                  <c:v>128.22672100000003</c:v>
                </c:pt>
                <c:pt idx="18">
                  <c:v>128.22672100000003</c:v>
                </c:pt>
                <c:pt idx="19">
                  <c:v>128.22672100000003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FD-1A42-94E5-94BB345FB5A3}"/>
            </c:ext>
          </c:extLst>
        </c:ser>
        <c:ser>
          <c:idx val="2"/>
          <c:order val="2"/>
          <c:tx>
            <c:strRef>
              <c:f>'Package Weight'!$L$1</c:f>
              <c:strCache>
                <c:ptCount val="1"/>
                <c:pt idx="0">
                  <c:v>R 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'Package Weight'!$A$2:$A$21</c:f>
              <c:numCache>
                <c:formatCode>m/d/yy</c:formatCode>
                <c:ptCount val="20"/>
                <c:pt idx="0">
                  <c:v>46131</c:v>
                </c:pt>
                <c:pt idx="1">
                  <c:v>46150</c:v>
                </c:pt>
                <c:pt idx="2">
                  <c:v>46160</c:v>
                </c:pt>
                <c:pt idx="3">
                  <c:v>46170</c:v>
                </c:pt>
                <c:pt idx="4">
                  <c:v>46184</c:v>
                </c:pt>
                <c:pt idx="5">
                  <c:v>46187</c:v>
                </c:pt>
                <c:pt idx="6">
                  <c:v>46190</c:v>
                </c:pt>
                <c:pt idx="7">
                  <c:v>46192</c:v>
                </c:pt>
                <c:pt idx="8">
                  <c:v>46196</c:v>
                </c:pt>
                <c:pt idx="9">
                  <c:v>46205</c:v>
                </c:pt>
                <c:pt idx="10">
                  <c:v>46206</c:v>
                </c:pt>
                <c:pt idx="11">
                  <c:v>46210</c:v>
                </c:pt>
                <c:pt idx="12">
                  <c:v>46213</c:v>
                </c:pt>
                <c:pt idx="13">
                  <c:v>46220</c:v>
                </c:pt>
                <c:pt idx="14">
                  <c:v>46222</c:v>
                </c:pt>
                <c:pt idx="15">
                  <c:v>46246</c:v>
                </c:pt>
                <c:pt idx="16">
                  <c:v>46249</c:v>
                </c:pt>
                <c:pt idx="17">
                  <c:v>46254</c:v>
                </c:pt>
                <c:pt idx="18">
                  <c:v>46256</c:v>
                </c:pt>
                <c:pt idx="19">
                  <c:v>46263</c:v>
                </c:pt>
              </c:numCache>
            </c:numRef>
          </c:cat>
          <c:val>
            <c:numRef>
              <c:f>'Package Weight'!$L$2:$L$21</c:f>
              <c:numCache>
                <c:formatCode>0.00</c:formatCode>
                <c:ptCount val="20"/>
                <c:pt idx="0">
                  <c:v>56.190500000000007</c:v>
                </c:pt>
                <c:pt idx="1">
                  <c:v>56.190500000000007</c:v>
                </c:pt>
                <c:pt idx="2">
                  <c:v>56.190500000000007</c:v>
                </c:pt>
                <c:pt idx="3">
                  <c:v>56.190500000000007</c:v>
                </c:pt>
                <c:pt idx="4">
                  <c:v>56.190500000000007</c:v>
                </c:pt>
                <c:pt idx="5">
                  <c:v>56.190500000000007</c:v>
                </c:pt>
                <c:pt idx="6">
                  <c:v>56.190500000000007</c:v>
                </c:pt>
                <c:pt idx="7">
                  <c:v>56.190500000000007</c:v>
                </c:pt>
                <c:pt idx="8">
                  <c:v>56.190500000000007</c:v>
                </c:pt>
                <c:pt idx="9">
                  <c:v>56.190500000000007</c:v>
                </c:pt>
                <c:pt idx="10">
                  <c:v>56.190500000000007</c:v>
                </c:pt>
                <c:pt idx="11">
                  <c:v>56.190500000000007</c:v>
                </c:pt>
                <c:pt idx="12">
                  <c:v>56.190500000000007</c:v>
                </c:pt>
                <c:pt idx="13">
                  <c:v>56.190500000000007</c:v>
                </c:pt>
                <c:pt idx="14">
                  <c:v>56.190500000000007</c:v>
                </c:pt>
                <c:pt idx="15">
                  <c:v>56.190500000000007</c:v>
                </c:pt>
                <c:pt idx="16">
                  <c:v>56.190500000000007</c:v>
                </c:pt>
                <c:pt idx="17">
                  <c:v>56.190500000000007</c:v>
                </c:pt>
                <c:pt idx="18">
                  <c:v>56.190500000000007</c:v>
                </c:pt>
                <c:pt idx="19">
                  <c:v>56.190500000000007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FD-1A42-94E5-94BB345FB5A3}"/>
            </c:ext>
          </c:extLst>
        </c:ser>
        <c:ser>
          <c:idx val="3"/>
          <c:order val="3"/>
          <c:tx>
            <c:strRef>
              <c:f>'Package Weight'!$M$1</c:f>
              <c:strCache>
                <c:ptCount val="1"/>
                <c:pt idx="0">
                  <c:v>R LCL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'Package Weight'!$A$2:$A$21</c:f>
              <c:numCache>
                <c:formatCode>m/d/yy</c:formatCode>
                <c:ptCount val="20"/>
                <c:pt idx="0">
                  <c:v>46131</c:v>
                </c:pt>
                <c:pt idx="1">
                  <c:v>46150</c:v>
                </c:pt>
                <c:pt idx="2">
                  <c:v>46160</c:v>
                </c:pt>
                <c:pt idx="3">
                  <c:v>46170</c:v>
                </c:pt>
                <c:pt idx="4">
                  <c:v>46184</c:v>
                </c:pt>
                <c:pt idx="5">
                  <c:v>46187</c:v>
                </c:pt>
                <c:pt idx="6">
                  <c:v>46190</c:v>
                </c:pt>
                <c:pt idx="7">
                  <c:v>46192</c:v>
                </c:pt>
                <c:pt idx="8">
                  <c:v>46196</c:v>
                </c:pt>
                <c:pt idx="9">
                  <c:v>46205</c:v>
                </c:pt>
                <c:pt idx="10">
                  <c:v>46206</c:v>
                </c:pt>
                <c:pt idx="11">
                  <c:v>46210</c:v>
                </c:pt>
                <c:pt idx="12">
                  <c:v>46213</c:v>
                </c:pt>
                <c:pt idx="13">
                  <c:v>46220</c:v>
                </c:pt>
                <c:pt idx="14">
                  <c:v>46222</c:v>
                </c:pt>
                <c:pt idx="15">
                  <c:v>46246</c:v>
                </c:pt>
                <c:pt idx="16">
                  <c:v>46249</c:v>
                </c:pt>
                <c:pt idx="17">
                  <c:v>46254</c:v>
                </c:pt>
                <c:pt idx="18">
                  <c:v>46256</c:v>
                </c:pt>
                <c:pt idx="19">
                  <c:v>46263</c:v>
                </c:pt>
              </c:numCache>
            </c:numRef>
          </c:cat>
          <c:val>
            <c:numRef>
              <c:f>'Package Weight'!$M$2:$M$21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FD-1A42-94E5-94BB345FB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014095"/>
        <c:axId val="1243347295"/>
      </c:lineChart>
      <c:dateAx>
        <c:axId val="1250014095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243347295"/>
        <c:crosses val="autoZero"/>
        <c:auto val="1"/>
        <c:lblOffset val="100"/>
        <c:baseTimeUnit val="days"/>
      </c:dateAx>
      <c:valAx>
        <c:axId val="124334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25001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767907</xdr:colOff>
      <xdr:row>48</xdr:row>
      <xdr:rowOff>25247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EC650D-E668-3342-9708-EA61270555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295348</xdr:colOff>
      <xdr:row>54</xdr:row>
      <xdr:rowOff>118138</xdr:rowOff>
    </xdr:from>
    <xdr:to>
      <xdr:col>26</xdr:col>
      <xdr:colOff>295349</xdr:colOff>
      <xdr:row>102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FAB965-8497-8B4E-B08A-38DB7A4C1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r/Downloads/SPC_Control_Chart_Constants_Calculator%20(6).xlsx" TargetMode="External"/><Relationship Id="rId1" Type="http://schemas.openxmlformats.org/officeDocument/2006/relationships/externalLinkPath" Target="SPC_Control_Chart_Constants_Calculator%20(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C Calculator"/>
      <sheetName val="Package Weight"/>
      <sheetName val="Control Charts"/>
      <sheetName val="How to Draw Charts"/>
    </sheetNames>
    <sheetDataSet>
      <sheetData sheetId="0">
        <row r="16">
          <cell r="B16">
            <v>505.08674949999994</v>
          </cell>
        </row>
        <row r="17">
          <cell r="B17">
            <v>464.12387499999994</v>
          </cell>
        </row>
        <row r="18">
          <cell r="B18">
            <v>423.16100049999994</v>
          </cell>
        </row>
        <row r="21">
          <cell r="B21">
            <v>128.22672100000003</v>
          </cell>
        </row>
        <row r="22">
          <cell r="B22">
            <v>56.190500000000007</v>
          </cell>
        </row>
        <row r="23">
          <cell r="B23">
            <v>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E7F7-ED84-3242-B8EB-31F2507B94D1}">
  <dimension ref="A1:N22"/>
  <sheetViews>
    <sheetView tabSelected="1" zoomScale="59" workbookViewId="0">
      <selection activeCell="K1" activeCellId="2" sqref="A1:A21 F1:F21 K1:M21"/>
    </sheetView>
  </sheetViews>
  <sheetFormatPr baseColWidth="10" defaultRowHeight="16" x14ac:dyDescent="0.2"/>
  <cols>
    <col min="1" max="1" width="17.1640625" bestFit="1" customWidth="1"/>
    <col min="2" max="13" width="11.1640625" bestFit="1" customWidth="1"/>
  </cols>
  <sheetData>
    <row r="1" spans="1:14" ht="72" x14ac:dyDescent="0.2">
      <c r="A1" s="30" t="s">
        <v>37</v>
      </c>
      <c r="B1" s="30" t="s">
        <v>38</v>
      </c>
      <c r="C1" s="30" t="s">
        <v>39</v>
      </c>
      <c r="D1" s="30" t="s">
        <v>40</v>
      </c>
      <c r="E1" s="30" t="s">
        <v>41</v>
      </c>
      <c r="F1" s="30" t="s">
        <v>0</v>
      </c>
      <c r="G1" s="30" t="s">
        <v>1</v>
      </c>
      <c r="H1" s="30" t="s">
        <v>42</v>
      </c>
      <c r="I1" s="30" t="s">
        <v>43</v>
      </c>
      <c r="J1" s="30" t="s">
        <v>44</v>
      </c>
      <c r="K1" s="30" t="s">
        <v>45</v>
      </c>
      <c r="L1" s="30" t="s">
        <v>46</v>
      </c>
      <c r="M1" s="30" t="s">
        <v>47</v>
      </c>
      <c r="N1" s="30" t="s">
        <v>48</v>
      </c>
    </row>
    <row r="2" spans="1:14" ht="23" x14ac:dyDescent="0.2">
      <c r="A2" s="31">
        <v>46131</v>
      </c>
      <c r="B2" s="32">
        <v>482.23</v>
      </c>
      <c r="C2" s="32">
        <v>482.99</v>
      </c>
      <c r="D2" s="32">
        <v>507.11</v>
      </c>
      <c r="E2" s="32">
        <v>494.84</v>
      </c>
      <c r="F2" s="32">
        <f t="shared" ref="F2:F21" si="0">MAX(B2:E2)-MIN(B2:E2)</f>
        <v>24.879999999999995</v>
      </c>
      <c r="G2" s="32">
        <f t="shared" ref="G2:G21" si="1">AVERAGE(B2:E2)</f>
        <v>491.79249999999996</v>
      </c>
      <c r="H2" s="32">
        <f>'[1]SPC Calculator'!$B$16</f>
        <v>505.08674949999994</v>
      </c>
      <c r="I2" s="32">
        <f>'[1]SPC Calculator'!$B$17</f>
        <v>464.12387499999994</v>
      </c>
      <c r="J2" s="32">
        <f>'[1]SPC Calculator'!$B$18</f>
        <v>423.16100049999994</v>
      </c>
      <c r="K2" s="32">
        <f>'[1]SPC Calculator'!$B$21</f>
        <v>128.22672100000003</v>
      </c>
      <c r="L2" s="32">
        <f>'[1]SPC Calculator'!$B$22</f>
        <v>56.190500000000007</v>
      </c>
      <c r="M2" s="32">
        <f>'[1]SPC Calculator'!$B$23</f>
        <v>0</v>
      </c>
      <c r="N2" s="33" t="s">
        <v>49</v>
      </c>
    </row>
    <row r="3" spans="1:14" ht="23" x14ac:dyDescent="0.2">
      <c r="A3" s="34">
        <v>46150</v>
      </c>
      <c r="B3" s="35">
        <v>453.93</v>
      </c>
      <c r="C3" s="35">
        <v>457.04</v>
      </c>
      <c r="D3" s="35">
        <v>433.88</v>
      </c>
      <c r="E3" s="35">
        <v>402.24</v>
      </c>
      <c r="F3" s="35">
        <f t="shared" si="0"/>
        <v>54.800000000000011</v>
      </c>
      <c r="G3" s="35">
        <f t="shared" si="1"/>
        <v>436.77249999999998</v>
      </c>
      <c r="H3" s="35">
        <f>'[1]SPC Calculator'!$B$16</f>
        <v>505.08674949999994</v>
      </c>
      <c r="I3" s="35">
        <f>'[1]SPC Calculator'!$B$17</f>
        <v>464.12387499999994</v>
      </c>
      <c r="J3" s="35">
        <f>'[1]SPC Calculator'!$B$18</f>
        <v>423.16100049999994</v>
      </c>
      <c r="K3" s="35">
        <f>'[1]SPC Calculator'!$B$21</f>
        <v>128.22672100000003</v>
      </c>
      <c r="L3" s="35">
        <f>'[1]SPC Calculator'!$B$22</f>
        <v>56.190500000000007</v>
      </c>
      <c r="M3" s="35">
        <f>'[1]SPC Calculator'!$B$23</f>
        <v>0</v>
      </c>
      <c r="N3" s="36" t="s">
        <v>50</v>
      </c>
    </row>
    <row r="4" spans="1:14" ht="23" x14ac:dyDescent="0.2">
      <c r="A4" s="37">
        <v>46160</v>
      </c>
      <c r="B4" s="38">
        <v>467.35</v>
      </c>
      <c r="C4" s="38">
        <v>428.5</v>
      </c>
      <c r="D4" s="38">
        <v>452.8</v>
      </c>
      <c r="E4" s="38">
        <v>440.69</v>
      </c>
      <c r="F4" s="38">
        <f t="shared" si="0"/>
        <v>38.850000000000023</v>
      </c>
      <c r="G4" s="38">
        <f t="shared" si="1"/>
        <v>447.33500000000004</v>
      </c>
      <c r="H4" s="38">
        <f>'[1]SPC Calculator'!$B$16</f>
        <v>505.08674949999994</v>
      </c>
      <c r="I4" s="38">
        <f>'[1]SPC Calculator'!$B$17</f>
        <v>464.12387499999994</v>
      </c>
      <c r="J4" s="38">
        <f>'[1]SPC Calculator'!$B$18</f>
        <v>423.16100049999994</v>
      </c>
      <c r="K4" s="38">
        <f>'[1]SPC Calculator'!$B$21</f>
        <v>128.22672100000003</v>
      </c>
      <c r="L4" s="38">
        <f>'[1]SPC Calculator'!$B$22</f>
        <v>56.190500000000007</v>
      </c>
      <c r="M4" s="38">
        <f>'[1]SPC Calculator'!$B$23</f>
        <v>0</v>
      </c>
      <c r="N4" s="39" t="s">
        <v>51</v>
      </c>
    </row>
    <row r="5" spans="1:14" ht="23" x14ac:dyDescent="0.2">
      <c r="A5" s="34">
        <v>46170</v>
      </c>
      <c r="B5" s="35">
        <v>422.15</v>
      </c>
      <c r="C5" s="35">
        <v>447.93</v>
      </c>
      <c r="D5" s="35">
        <v>447.96</v>
      </c>
      <c r="E5" s="35">
        <v>432.72</v>
      </c>
      <c r="F5" s="35">
        <f t="shared" si="0"/>
        <v>25.810000000000002</v>
      </c>
      <c r="G5" s="35">
        <f t="shared" si="1"/>
        <v>437.69</v>
      </c>
      <c r="H5" s="35">
        <f>'[1]SPC Calculator'!$B$16</f>
        <v>505.08674949999994</v>
      </c>
      <c r="I5" s="35">
        <f>'[1]SPC Calculator'!$B$17</f>
        <v>464.12387499999994</v>
      </c>
      <c r="J5" s="35">
        <f>'[1]SPC Calculator'!$B$18</f>
        <v>423.16100049999994</v>
      </c>
      <c r="K5" s="35">
        <f>'[1]SPC Calculator'!$B$21</f>
        <v>128.22672100000003</v>
      </c>
      <c r="L5" s="35">
        <f>'[1]SPC Calculator'!$B$22</f>
        <v>56.190500000000007</v>
      </c>
      <c r="M5" s="35">
        <f>'[1]SPC Calculator'!$B$23</f>
        <v>0</v>
      </c>
      <c r="N5" s="36" t="s">
        <v>52</v>
      </c>
    </row>
    <row r="6" spans="1:14" ht="23" x14ac:dyDescent="0.2">
      <c r="A6" s="37">
        <v>46184</v>
      </c>
      <c r="B6" s="38">
        <v>420.88</v>
      </c>
      <c r="C6" s="38">
        <v>432.77</v>
      </c>
      <c r="D6" s="38">
        <v>423.88</v>
      </c>
      <c r="E6" s="38">
        <v>405.34</v>
      </c>
      <c r="F6" s="38">
        <f t="shared" si="0"/>
        <v>27.430000000000007</v>
      </c>
      <c r="G6" s="38">
        <f t="shared" si="1"/>
        <v>420.71749999999997</v>
      </c>
      <c r="H6" s="38">
        <f>'[1]SPC Calculator'!$B$16</f>
        <v>505.08674949999994</v>
      </c>
      <c r="I6" s="38">
        <f>'[1]SPC Calculator'!$B$17</f>
        <v>464.12387499999994</v>
      </c>
      <c r="J6" s="38">
        <f>'[1]SPC Calculator'!$B$18</f>
        <v>423.16100049999994</v>
      </c>
      <c r="K6" s="38">
        <f>'[1]SPC Calculator'!$B$21</f>
        <v>128.22672100000003</v>
      </c>
      <c r="L6" s="38">
        <f>'[1]SPC Calculator'!$B$22</f>
        <v>56.190500000000007</v>
      </c>
      <c r="M6" s="38">
        <f>'[1]SPC Calculator'!$B$23</f>
        <v>0</v>
      </c>
      <c r="N6" s="39" t="s">
        <v>53</v>
      </c>
    </row>
    <row r="7" spans="1:14" ht="23" x14ac:dyDescent="0.2">
      <c r="A7" s="34">
        <v>46187</v>
      </c>
      <c r="B7" s="35">
        <v>496.8</v>
      </c>
      <c r="C7" s="35">
        <v>493.93</v>
      </c>
      <c r="D7" s="35">
        <v>524.36</v>
      </c>
      <c r="E7" s="35">
        <v>513.59</v>
      </c>
      <c r="F7" s="35">
        <f t="shared" si="0"/>
        <v>30.430000000000007</v>
      </c>
      <c r="G7" s="35">
        <f t="shared" si="1"/>
        <v>507.17000000000007</v>
      </c>
      <c r="H7" s="35">
        <f>'[1]SPC Calculator'!$B$16</f>
        <v>505.08674949999994</v>
      </c>
      <c r="I7" s="35">
        <f>'[1]SPC Calculator'!$B$17</f>
        <v>464.12387499999994</v>
      </c>
      <c r="J7" s="35">
        <f>'[1]SPC Calculator'!$B$18</f>
        <v>423.16100049999994</v>
      </c>
      <c r="K7" s="35">
        <f>'[1]SPC Calculator'!$B$21</f>
        <v>128.22672100000003</v>
      </c>
      <c r="L7" s="35">
        <f>'[1]SPC Calculator'!$B$22</f>
        <v>56.190500000000007</v>
      </c>
      <c r="M7" s="35">
        <f>'[1]SPC Calculator'!$B$23</f>
        <v>0</v>
      </c>
      <c r="N7" s="36" t="s">
        <v>54</v>
      </c>
    </row>
    <row r="8" spans="1:14" ht="23" x14ac:dyDescent="0.2">
      <c r="A8" s="37">
        <v>46190</v>
      </c>
      <c r="B8" s="38">
        <v>405.83</v>
      </c>
      <c r="C8" s="38">
        <v>498.71</v>
      </c>
      <c r="D8" s="38">
        <v>488.02</v>
      </c>
      <c r="E8" s="38">
        <v>458.65</v>
      </c>
      <c r="F8" s="38">
        <f t="shared" si="0"/>
        <v>92.88</v>
      </c>
      <c r="G8" s="38">
        <f t="shared" si="1"/>
        <v>462.80250000000001</v>
      </c>
      <c r="H8" s="38">
        <f>'[1]SPC Calculator'!$B$16</f>
        <v>505.08674949999994</v>
      </c>
      <c r="I8" s="38">
        <f>'[1]SPC Calculator'!$B$17</f>
        <v>464.12387499999994</v>
      </c>
      <c r="J8" s="38">
        <f>'[1]SPC Calculator'!$B$18</f>
        <v>423.16100049999994</v>
      </c>
      <c r="K8" s="38">
        <f>'[1]SPC Calculator'!$B$21</f>
        <v>128.22672100000003</v>
      </c>
      <c r="L8" s="38">
        <f>'[1]SPC Calculator'!$B$22</f>
        <v>56.190500000000007</v>
      </c>
      <c r="M8" s="38">
        <f>'[1]SPC Calculator'!$B$23</f>
        <v>0</v>
      </c>
      <c r="N8" s="39" t="s">
        <v>55</v>
      </c>
    </row>
    <row r="9" spans="1:14" ht="23" x14ac:dyDescent="0.2">
      <c r="A9" s="34">
        <v>46192</v>
      </c>
      <c r="B9" s="35">
        <v>530.38</v>
      </c>
      <c r="C9" s="35">
        <v>423.44</v>
      </c>
      <c r="D9" s="35">
        <v>421.33</v>
      </c>
      <c r="E9" s="35">
        <v>449.87</v>
      </c>
      <c r="F9" s="35">
        <f t="shared" si="0"/>
        <v>109.05000000000001</v>
      </c>
      <c r="G9" s="35">
        <f t="shared" si="1"/>
        <v>456.255</v>
      </c>
      <c r="H9" s="35">
        <f>'[1]SPC Calculator'!$B$16</f>
        <v>505.08674949999994</v>
      </c>
      <c r="I9" s="35">
        <f>'[1]SPC Calculator'!$B$17</f>
        <v>464.12387499999994</v>
      </c>
      <c r="J9" s="35">
        <f>'[1]SPC Calculator'!$B$18</f>
        <v>423.16100049999994</v>
      </c>
      <c r="K9" s="35">
        <f>'[1]SPC Calculator'!$B$21</f>
        <v>128.22672100000003</v>
      </c>
      <c r="L9" s="35">
        <f>'[1]SPC Calculator'!$B$22</f>
        <v>56.190500000000007</v>
      </c>
      <c r="M9" s="35">
        <f>'[1]SPC Calculator'!$B$23</f>
        <v>0</v>
      </c>
      <c r="N9" s="36" t="s">
        <v>56</v>
      </c>
    </row>
    <row r="10" spans="1:14" ht="23" x14ac:dyDescent="0.2">
      <c r="A10" s="37">
        <v>46196</v>
      </c>
      <c r="B10" s="38">
        <v>468.07</v>
      </c>
      <c r="C10" s="38">
        <v>429.38</v>
      </c>
      <c r="D10" s="38">
        <v>437.55</v>
      </c>
      <c r="E10" s="38">
        <v>434.74</v>
      </c>
      <c r="F10" s="38">
        <f t="shared" si="0"/>
        <v>38.69</v>
      </c>
      <c r="G10" s="38">
        <f t="shared" si="1"/>
        <v>442.435</v>
      </c>
      <c r="H10" s="38">
        <f>'[1]SPC Calculator'!$B$16</f>
        <v>505.08674949999994</v>
      </c>
      <c r="I10" s="38">
        <f>'[1]SPC Calculator'!$B$17</f>
        <v>464.12387499999994</v>
      </c>
      <c r="J10" s="38">
        <f>'[1]SPC Calculator'!$B$18</f>
        <v>423.16100049999994</v>
      </c>
      <c r="K10" s="38">
        <f>'[1]SPC Calculator'!$B$21</f>
        <v>128.22672100000003</v>
      </c>
      <c r="L10" s="38">
        <f>'[1]SPC Calculator'!$B$22</f>
        <v>56.190500000000007</v>
      </c>
      <c r="M10" s="38">
        <f>'[1]SPC Calculator'!$B$23</f>
        <v>0</v>
      </c>
      <c r="N10" s="39" t="s">
        <v>57</v>
      </c>
    </row>
    <row r="11" spans="1:14" ht="23" x14ac:dyDescent="0.2">
      <c r="A11" s="34">
        <v>46205</v>
      </c>
      <c r="B11" s="35">
        <v>407.89</v>
      </c>
      <c r="C11" s="35">
        <v>438.49</v>
      </c>
      <c r="D11" s="35">
        <v>400.79</v>
      </c>
      <c r="E11" s="35">
        <v>380.97</v>
      </c>
      <c r="F11" s="35">
        <f t="shared" si="0"/>
        <v>57.519999999999982</v>
      </c>
      <c r="G11" s="35">
        <f t="shared" si="1"/>
        <v>407.03500000000003</v>
      </c>
      <c r="H11" s="35">
        <f>'[1]SPC Calculator'!$B$16</f>
        <v>505.08674949999994</v>
      </c>
      <c r="I11" s="35">
        <f>'[1]SPC Calculator'!$B$17</f>
        <v>464.12387499999994</v>
      </c>
      <c r="J11" s="35">
        <f>'[1]SPC Calculator'!$B$18</f>
        <v>423.16100049999994</v>
      </c>
      <c r="K11" s="35">
        <f>'[1]SPC Calculator'!$B$21</f>
        <v>128.22672100000003</v>
      </c>
      <c r="L11" s="35">
        <f>'[1]SPC Calculator'!$B$22</f>
        <v>56.190500000000007</v>
      </c>
      <c r="M11" s="35">
        <f>'[1]SPC Calculator'!$B$23</f>
        <v>0</v>
      </c>
      <c r="N11" s="36" t="s">
        <v>58</v>
      </c>
    </row>
    <row r="12" spans="1:14" ht="23" x14ac:dyDescent="0.2">
      <c r="A12" s="37">
        <v>46206</v>
      </c>
      <c r="B12" s="38">
        <v>372.72</v>
      </c>
      <c r="C12" s="38">
        <v>418.52</v>
      </c>
      <c r="D12" s="38">
        <v>388.49</v>
      </c>
      <c r="E12" s="38">
        <v>369.38</v>
      </c>
      <c r="F12" s="38">
        <f t="shared" si="0"/>
        <v>49.139999999999986</v>
      </c>
      <c r="G12" s="38">
        <f t="shared" si="1"/>
        <v>387.27750000000003</v>
      </c>
      <c r="H12" s="38">
        <f>'[1]SPC Calculator'!$B$16</f>
        <v>505.08674949999994</v>
      </c>
      <c r="I12" s="38">
        <f>'[1]SPC Calculator'!$B$17</f>
        <v>464.12387499999994</v>
      </c>
      <c r="J12" s="38">
        <f>'[1]SPC Calculator'!$B$18</f>
        <v>423.16100049999994</v>
      </c>
      <c r="K12" s="38">
        <f>'[1]SPC Calculator'!$B$21</f>
        <v>128.22672100000003</v>
      </c>
      <c r="L12" s="38">
        <f>'[1]SPC Calculator'!$B$22</f>
        <v>56.190500000000007</v>
      </c>
      <c r="M12" s="38">
        <f>'[1]SPC Calculator'!$B$23</f>
        <v>0</v>
      </c>
      <c r="N12" s="39" t="s">
        <v>59</v>
      </c>
    </row>
    <row r="13" spans="1:14" ht="23" x14ac:dyDescent="0.2">
      <c r="A13" s="34">
        <v>46210</v>
      </c>
      <c r="B13" s="35">
        <v>531</v>
      </c>
      <c r="C13" s="35">
        <v>499.5</v>
      </c>
      <c r="D13" s="35">
        <v>559.29999999999995</v>
      </c>
      <c r="E13" s="35">
        <v>511.3</v>
      </c>
      <c r="F13" s="35">
        <f t="shared" si="0"/>
        <v>59.799999999999955</v>
      </c>
      <c r="G13" s="35">
        <f t="shared" si="1"/>
        <v>525.27499999999998</v>
      </c>
      <c r="H13" s="35">
        <f>'[1]SPC Calculator'!$B$16</f>
        <v>505.08674949999994</v>
      </c>
      <c r="I13" s="35">
        <f>'[1]SPC Calculator'!$B$17</f>
        <v>464.12387499999994</v>
      </c>
      <c r="J13" s="35">
        <f>'[1]SPC Calculator'!$B$18</f>
        <v>423.16100049999994</v>
      </c>
      <c r="K13" s="35">
        <f>'[1]SPC Calculator'!$B$21</f>
        <v>128.22672100000003</v>
      </c>
      <c r="L13" s="35">
        <f>'[1]SPC Calculator'!$B$22</f>
        <v>56.190500000000007</v>
      </c>
      <c r="M13" s="35">
        <f>'[1]SPC Calculator'!$B$23</f>
        <v>0</v>
      </c>
      <c r="N13" s="36" t="s">
        <v>60</v>
      </c>
    </row>
    <row r="14" spans="1:14" ht="23" x14ac:dyDescent="0.2">
      <c r="A14" s="37">
        <v>46213</v>
      </c>
      <c r="B14" s="38">
        <v>635.1</v>
      </c>
      <c r="C14" s="38">
        <v>644.1</v>
      </c>
      <c r="D14" s="38">
        <v>578.20000000000005</v>
      </c>
      <c r="E14" s="38">
        <v>495.2</v>
      </c>
      <c r="F14" s="38">
        <f t="shared" si="0"/>
        <v>148.90000000000003</v>
      </c>
      <c r="G14" s="38">
        <f t="shared" si="1"/>
        <v>588.15</v>
      </c>
      <c r="H14" s="38">
        <f>'[1]SPC Calculator'!$B$16</f>
        <v>505.08674949999994</v>
      </c>
      <c r="I14" s="38">
        <f>'[1]SPC Calculator'!$B$17</f>
        <v>464.12387499999994</v>
      </c>
      <c r="J14" s="38">
        <f>'[1]SPC Calculator'!$B$18</f>
        <v>423.16100049999994</v>
      </c>
      <c r="K14" s="38">
        <f>'[1]SPC Calculator'!$B$21</f>
        <v>128.22672100000003</v>
      </c>
      <c r="L14" s="38">
        <f>'[1]SPC Calculator'!$B$22</f>
        <v>56.190500000000007</v>
      </c>
      <c r="M14" s="38">
        <f>'[1]SPC Calculator'!$B$23</f>
        <v>0</v>
      </c>
      <c r="N14" s="39" t="s">
        <v>61</v>
      </c>
    </row>
    <row r="15" spans="1:14" ht="23" x14ac:dyDescent="0.2">
      <c r="A15" s="34">
        <v>46220</v>
      </c>
      <c r="B15" s="35">
        <v>619.76</v>
      </c>
      <c r="C15" s="35">
        <v>526.04999999999995</v>
      </c>
      <c r="D15" s="35">
        <v>579.35</v>
      </c>
      <c r="E15" s="35">
        <v>659.7</v>
      </c>
      <c r="F15" s="35">
        <f t="shared" si="0"/>
        <v>133.65000000000009</v>
      </c>
      <c r="G15" s="35">
        <f t="shared" si="1"/>
        <v>596.21499999999992</v>
      </c>
      <c r="H15" s="35">
        <f>'[1]SPC Calculator'!$B$16</f>
        <v>505.08674949999994</v>
      </c>
      <c r="I15" s="35">
        <f>'[1]SPC Calculator'!$B$17</f>
        <v>464.12387499999994</v>
      </c>
      <c r="J15" s="35">
        <f>'[1]SPC Calculator'!$B$18</f>
        <v>423.16100049999994</v>
      </c>
      <c r="K15" s="35">
        <f>'[1]SPC Calculator'!$B$21</f>
        <v>128.22672100000003</v>
      </c>
      <c r="L15" s="35">
        <f>'[1]SPC Calculator'!$B$22</f>
        <v>56.190500000000007</v>
      </c>
      <c r="M15" s="35">
        <f>'[1]SPC Calculator'!$B$23</f>
        <v>0</v>
      </c>
      <c r="N15" s="36" t="s">
        <v>62</v>
      </c>
    </row>
    <row r="16" spans="1:14" ht="23" x14ac:dyDescent="0.2">
      <c r="A16" s="37">
        <v>46222</v>
      </c>
      <c r="B16" s="38">
        <v>446.01</v>
      </c>
      <c r="C16" s="38">
        <v>427.36</v>
      </c>
      <c r="D16" s="38">
        <v>444.48</v>
      </c>
      <c r="E16" s="38">
        <v>455.7</v>
      </c>
      <c r="F16" s="38">
        <f t="shared" si="0"/>
        <v>28.339999999999975</v>
      </c>
      <c r="G16" s="38">
        <f t="shared" si="1"/>
        <v>443.38749999999999</v>
      </c>
      <c r="H16" s="38">
        <f>'[1]SPC Calculator'!$B$16</f>
        <v>505.08674949999994</v>
      </c>
      <c r="I16" s="38">
        <f>'[1]SPC Calculator'!$B$17</f>
        <v>464.12387499999994</v>
      </c>
      <c r="J16" s="38">
        <f>'[1]SPC Calculator'!$B$18</f>
        <v>423.16100049999994</v>
      </c>
      <c r="K16" s="38">
        <f>'[1]SPC Calculator'!$B$21</f>
        <v>128.22672100000003</v>
      </c>
      <c r="L16" s="38">
        <f>'[1]SPC Calculator'!$B$22</f>
        <v>56.190500000000007</v>
      </c>
      <c r="M16" s="38">
        <f>'[1]SPC Calculator'!$B$23</f>
        <v>0</v>
      </c>
      <c r="N16" s="39" t="s">
        <v>63</v>
      </c>
    </row>
    <row r="17" spans="1:14" ht="23" x14ac:dyDescent="0.2">
      <c r="A17" s="34">
        <v>46246</v>
      </c>
      <c r="B17" s="35">
        <v>448.3</v>
      </c>
      <c r="C17" s="35">
        <v>459.56</v>
      </c>
      <c r="D17" s="35">
        <v>446.51</v>
      </c>
      <c r="E17" s="35">
        <v>447.91</v>
      </c>
      <c r="F17" s="35">
        <f t="shared" si="0"/>
        <v>13.050000000000011</v>
      </c>
      <c r="G17" s="35">
        <f t="shared" si="1"/>
        <v>450.57</v>
      </c>
      <c r="H17" s="35">
        <f>'[1]SPC Calculator'!$B$16</f>
        <v>505.08674949999994</v>
      </c>
      <c r="I17" s="35">
        <f>'[1]SPC Calculator'!$B$17</f>
        <v>464.12387499999994</v>
      </c>
      <c r="J17" s="35">
        <f>'[1]SPC Calculator'!$B$18</f>
        <v>423.16100049999994</v>
      </c>
      <c r="K17" s="35">
        <f>'[1]SPC Calculator'!$B$21</f>
        <v>128.22672100000003</v>
      </c>
      <c r="L17" s="35">
        <f>'[1]SPC Calculator'!$B$22</f>
        <v>56.190500000000007</v>
      </c>
      <c r="M17" s="35">
        <f>'[1]SPC Calculator'!$B$23</f>
        <v>0</v>
      </c>
      <c r="N17" s="36" t="s">
        <v>64</v>
      </c>
    </row>
    <row r="18" spans="1:14" ht="23" x14ac:dyDescent="0.2">
      <c r="A18" s="37">
        <v>46249</v>
      </c>
      <c r="B18" s="38">
        <v>408.93</v>
      </c>
      <c r="C18" s="38">
        <v>420.13</v>
      </c>
      <c r="D18" s="38">
        <v>434.94</v>
      </c>
      <c r="E18" s="38">
        <v>408.68</v>
      </c>
      <c r="F18" s="38">
        <f t="shared" si="0"/>
        <v>26.259999999999991</v>
      </c>
      <c r="G18" s="38">
        <f t="shared" si="1"/>
        <v>418.17</v>
      </c>
      <c r="H18" s="38">
        <f>'[1]SPC Calculator'!$B$16</f>
        <v>505.08674949999994</v>
      </c>
      <c r="I18" s="38">
        <f>'[1]SPC Calculator'!$B$17</f>
        <v>464.12387499999994</v>
      </c>
      <c r="J18" s="38">
        <f>'[1]SPC Calculator'!$B$18</f>
        <v>423.16100049999994</v>
      </c>
      <c r="K18" s="38">
        <f>'[1]SPC Calculator'!$B$21</f>
        <v>128.22672100000003</v>
      </c>
      <c r="L18" s="38">
        <f>'[1]SPC Calculator'!$B$22</f>
        <v>56.190500000000007</v>
      </c>
      <c r="M18" s="38">
        <f>'[1]SPC Calculator'!$B$23</f>
        <v>0</v>
      </c>
      <c r="N18" s="39" t="s">
        <v>65</v>
      </c>
    </row>
    <row r="19" spans="1:14" ht="23" x14ac:dyDescent="0.2">
      <c r="A19" s="34">
        <v>46254</v>
      </c>
      <c r="B19" s="35">
        <v>432.18</v>
      </c>
      <c r="C19" s="35">
        <v>447.35</v>
      </c>
      <c r="D19" s="35">
        <v>439.05</v>
      </c>
      <c r="E19" s="35">
        <v>432.24</v>
      </c>
      <c r="F19" s="35">
        <f t="shared" si="0"/>
        <v>15.170000000000016</v>
      </c>
      <c r="G19" s="35">
        <f t="shared" si="1"/>
        <v>437.70499999999998</v>
      </c>
      <c r="H19" s="35">
        <f>'[1]SPC Calculator'!$B$16</f>
        <v>505.08674949999994</v>
      </c>
      <c r="I19" s="35">
        <f>'[1]SPC Calculator'!$B$17</f>
        <v>464.12387499999994</v>
      </c>
      <c r="J19" s="35">
        <f>'[1]SPC Calculator'!$B$18</f>
        <v>423.16100049999994</v>
      </c>
      <c r="K19" s="35">
        <f>'[1]SPC Calculator'!$B$21</f>
        <v>128.22672100000003</v>
      </c>
      <c r="L19" s="35">
        <f>'[1]SPC Calculator'!$B$22</f>
        <v>56.190500000000007</v>
      </c>
      <c r="M19" s="35">
        <f>'[1]SPC Calculator'!$B$23</f>
        <v>0</v>
      </c>
      <c r="N19" s="36" t="s">
        <v>66</v>
      </c>
    </row>
    <row r="20" spans="1:14" ht="23" x14ac:dyDescent="0.2">
      <c r="A20" s="37">
        <v>46256</v>
      </c>
      <c r="B20" s="38">
        <v>480.38</v>
      </c>
      <c r="C20" s="38">
        <v>487.38</v>
      </c>
      <c r="D20" s="38">
        <v>475.36</v>
      </c>
      <c r="E20" s="38">
        <v>401.73</v>
      </c>
      <c r="F20" s="38">
        <f t="shared" si="0"/>
        <v>85.649999999999977</v>
      </c>
      <c r="G20" s="38">
        <f t="shared" si="1"/>
        <v>461.21249999999998</v>
      </c>
      <c r="H20" s="38">
        <f>'[1]SPC Calculator'!$B$16</f>
        <v>505.08674949999994</v>
      </c>
      <c r="I20" s="38">
        <f>'[1]SPC Calculator'!$B$17</f>
        <v>464.12387499999994</v>
      </c>
      <c r="J20" s="38">
        <f>'[1]SPC Calculator'!$B$18</f>
        <v>423.16100049999994</v>
      </c>
      <c r="K20" s="38">
        <f>'[1]SPC Calculator'!$B$21</f>
        <v>128.22672100000003</v>
      </c>
      <c r="L20" s="38">
        <f>'[1]SPC Calculator'!$B$22</f>
        <v>56.190500000000007</v>
      </c>
      <c r="M20" s="38">
        <f>'[1]SPC Calculator'!$B$23</f>
        <v>0</v>
      </c>
      <c r="N20" s="39" t="s">
        <v>67</v>
      </c>
    </row>
    <row r="21" spans="1:14" ht="23" x14ac:dyDescent="0.2">
      <c r="A21" s="40">
        <v>46263</v>
      </c>
      <c r="B21" s="41">
        <v>494.32</v>
      </c>
      <c r="C21" s="41">
        <v>466.42</v>
      </c>
      <c r="D21" s="41">
        <v>430.81</v>
      </c>
      <c r="E21" s="41">
        <v>466.49</v>
      </c>
      <c r="F21" s="41">
        <f t="shared" si="0"/>
        <v>63.509999999999991</v>
      </c>
      <c r="G21" s="41">
        <f t="shared" si="1"/>
        <v>464.51</v>
      </c>
      <c r="H21" s="41">
        <f>'[1]SPC Calculator'!$B$16</f>
        <v>505.08674949999994</v>
      </c>
      <c r="I21" s="41">
        <f>'[1]SPC Calculator'!$B$17</f>
        <v>464.12387499999994</v>
      </c>
      <c r="J21" s="41">
        <f>'[1]SPC Calculator'!$B$18</f>
        <v>423.16100049999994</v>
      </c>
      <c r="K21" s="41">
        <f>'[1]SPC Calculator'!$B$21</f>
        <v>128.22672100000003</v>
      </c>
      <c r="L21" s="41">
        <f>'[1]SPC Calculator'!$B$22</f>
        <v>56.190500000000007</v>
      </c>
      <c r="M21" s="41">
        <f>'[1]SPC Calculator'!$B$23</f>
        <v>0</v>
      </c>
      <c r="N21" s="42" t="s">
        <v>68</v>
      </c>
    </row>
    <row r="22" spans="1:14" x14ac:dyDescent="0.2">
      <c r="E22" t="s">
        <v>69</v>
      </c>
      <c r="F22">
        <v>56.19</v>
      </c>
      <c r="G22">
        <v>464.12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18699-65D3-F742-B5B2-671107ECFE45}">
  <dimension ref="A1:J33"/>
  <sheetViews>
    <sheetView topLeftCell="A13" zoomScale="96" workbookViewId="0">
      <selection activeCell="E33" sqref="E33"/>
    </sheetView>
  </sheetViews>
  <sheetFormatPr baseColWidth="10" defaultRowHeight="16" x14ac:dyDescent="0.2"/>
  <cols>
    <col min="3" max="3" width="18.33203125" customWidth="1"/>
    <col min="4" max="4" width="24.33203125" customWidth="1"/>
  </cols>
  <sheetData>
    <row r="1" spans="1:10" ht="19" x14ac:dyDescent="0.2">
      <c r="A1" s="1" t="s">
        <v>2</v>
      </c>
      <c r="B1" s="1"/>
      <c r="C1" s="1"/>
      <c r="D1" s="1"/>
      <c r="E1" s="1"/>
    </row>
    <row r="2" spans="1:10" x14ac:dyDescent="0.2">
      <c r="A2" s="3" t="s">
        <v>3</v>
      </c>
      <c r="B2" s="3"/>
      <c r="C2" s="3"/>
      <c r="D2" s="3"/>
      <c r="E2" s="3"/>
    </row>
    <row r="3" spans="1:10" x14ac:dyDescent="0.2">
      <c r="A3" s="2"/>
      <c r="B3" s="2"/>
      <c r="C3" s="2"/>
      <c r="D3" s="2"/>
      <c r="E3" s="2"/>
    </row>
    <row r="4" spans="1:10" x14ac:dyDescent="0.2">
      <c r="A4" s="5" t="s">
        <v>5</v>
      </c>
      <c r="B4" s="5"/>
      <c r="C4" s="5"/>
      <c r="D4" s="2"/>
      <c r="E4" s="2"/>
      <c r="G4" s="4" t="s">
        <v>4</v>
      </c>
      <c r="H4" s="4"/>
      <c r="I4" s="4"/>
      <c r="J4" s="4"/>
    </row>
    <row r="5" spans="1:10" x14ac:dyDescent="0.2">
      <c r="A5" s="7" t="s">
        <v>10</v>
      </c>
      <c r="B5" s="8">
        <v>4</v>
      </c>
      <c r="C5" s="2"/>
      <c r="D5" s="2"/>
      <c r="E5" s="2"/>
      <c r="G5" s="6" t="s">
        <v>6</v>
      </c>
      <c r="H5" s="6" t="s">
        <v>7</v>
      </c>
      <c r="I5" s="6" t="s">
        <v>8</v>
      </c>
      <c r="J5" s="6" t="s">
        <v>9</v>
      </c>
    </row>
    <row r="6" spans="1:10" x14ac:dyDescent="0.2">
      <c r="A6" s="11" t="s">
        <v>11</v>
      </c>
      <c r="B6" s="12">
        <f>AVERAGE('Package Weight'!$G$2:$G$21)</f>
        <v>464.12387499999994</v>
      </c>
      <c r="C6" s="2"/>
      <c r="D6" s="2"/>
      <c r="E6" s="2"/>
      <c r="G6" s="9">
        <v>2</v>
      </c>
      <c r="H6" s="10">
        <v>1.88</v>
      </c>
      <c r="I6" s="10">
        <v>0</v>
      </c>
      <c r="J6" s="10">
        <v>3.2669999999999999</v>
      </c>
    </row>
    <row r="7" spans="1:10" x14ac:dyDescent="0.2">
      <c r="A7" s="13" t="s">
        <v>12</v>
      </c>
      <c r="B7" s="14">
        <f>AVERAGE('Package Weight'!$F$2:$F$21)</f>
        <v>56.190500000000007</v>
      </c>
      <c r="C7" s="2"/>
      <c r="D7" s="2"/>
      <c r="E7" s="2"/>
      <c r="G7" s="9">
        <v>3</v>
      </c>
      <c r="H7" s="10">
        <v>1.0229999999999999</v>
      </c>
      <c r="I7" s="10">
        <v>0</v>
      </c>
      <c r="J7" s="10">
        <v>2.5750000000000002</v>
      </c>
    </row>
    <row r="8" spans="1:10" x14ac:dyDescent="0.2">
      <c r="A8" s="2"/>
      <c r="B8" s="2"/>
      <c r="C8" s="2"/>
      <c r="D8" s="2"/>
      <c r="E8" s="2"/>
      <c r="G8" s="9">
        <v>4</v>
      </c>
      <c r="H8" s="10">
        <v>0.72899999999999998</v>
      </c>
      <c r="I8" s="10">
        <v>0</v>
      </c>
      <c r="J8" s="10">
        <v>2.282</v>
      </c>
    </row>
    <row r="9" spans="1:10" x14ac:dyDescent="0.2">
      <c r="A9" s="15" t="s">
        <v>13</v>
      </c>
      <c r="B9" s="15"/>
      <c r="C9" s="15"/>
      <c r="D9" s="2"/>
      <c r="E9" s="2"/>
      <c r="G9" s="9">
        <v>5</v>
      </c>
      <c r="H9" s="10">
        <v>0.57699999999999996</v>
      </c>
      <c r="I9" s="10">
        <v>0</v>
      </c>
      <c r="J9" s="10">
        <v>2.1150000000000002</v>
      </c>
    </row>
    <row r="10" spans="1:10" x14ac:dyDescent="0.2">
      <c r="A10" s="7" t="s">
        <v>7</v>
      </c>
      <c r="B10" s="16">
        <f>VLOOKUP($B$5,$G$6:$J$14,2,FALSE)</f>
        <v>0.72899999999999998</v>
      </c>
      <c r="C10" s="2"/>
      <c r="D10" s="2"/>
      <c r="E10" s="2"/>
      <c r="G10" s="9">
        <v>6</v>
      </c>
      <c r="H10" s="10">
        <v>0.48299999999999998</v>
      </c>
      <c r="I10" s="10">
        <v>0</v>
      </c>
      <c r="J10" s="10">
        <v>2.004</v>
      </c>
    </row>
    <row r="11" spans="1:10" x14ac:dyDescent="0.2">
      <c r="A11" s="11" t="s">
        <v>8</v>
      </c>
      <c r="B11" s="17">
        <f>VLOOKUP($B$5,$G$6:$J$14,3,FALSE)</f>
        <v>0</v>
      </c>
      <c r="C11" s="2"/>
      <c r="D11" s="2"/>
      <c r="E11" s="2"/>
      <c r="G11" s="9">
        <v>7</v>
      </c>
      <c r="H11" s="10">
        <v>0.41899999999999998</v>
      </c>
      <c r="I11" s="10">
        <v>7.5999999999999998E-2</v>
      </c>
      <c r="J11" s="10">
        <v>1.9239999999999999</v>
      </c>
    </row>
    <row r="12" spans="1:10" x14ac:dyDescent="0.2">
      <c r="A12" s="13" t="s">
        <v>9</v>
      </c>
      <c r="B12" s="18">
        <f>VLOOKUP($B$5,$G$6:$J$14,4,FALSE)</f>
        <v>2.282</v>
      </c>
      <c r="C12" s="2"/>
      <c r="D12" s="2"/>
      <c r="E12" s="2"/>
      <c r="G12" s="9">
        <v>8</v>
      </c>
      <c r="H12" s="10">
        <v>0.373</v>
      </c>
      <c r="I12" s="10">
        <v>0.13600000000000001</v>
      </c>
      <c r="J12" s="10">
        <v>1.8640000000000001</v>
      </c>
    </row>
    <row r="13" spans="1:10" x14ac:dyDescent="0.2">
      <c r="A13" s="2"/>
      <c r="B13" s="2"/>
      <c r="C13" s="2"/>
      <c r="D13" s="2"/>
      <c r="E13" s="2"/>
      <c r="G13" s="9">
        <v>9</v>
      </c>
      <c r="H13" s="10">
        <v>0.33700000000000002</v>
      </c>
      <c r="I13" s="10">
        <v>0.184</v>
      </c>
      <c r="J13" s="10">
        <v>1.8160000000000001</v>
      </c>
    </row>
    <row r="14" spans="1:10" x14ac:dyDescent="0.2">
      <c r="A14" s="5" t="s">
        <v>14</v>
      </c>
      <c r="B14" s="5"/>
      <c r="C14" s="5"/>
      <c r="D14" s="2"/>
      <c r="E14" s="2"/>
      <c r="G14" s="9">
        <v>10</v>
      </c>
      <c r="H14" s="10">
        <v>0.308</v>
      </c>
      <c r="I14" s="10">
        <v>0.223</v>
      </c>
      <c r="J14" s="10">
        <v>1.7769999999999999</v>
      </c>
    </row>
    <row r="15" spans="1:10" x14ac:dyDescent="0.2">
      <c r="A15" s="7" t="s">
        <v>15</v>
      </c>
      <c r="B15" s="19">
        <f>B6+(B10*B7)</f>
        <v>505.08674949999994</v>
      </c>
      <c r="C15" s="2"/>
      <c r="D15" s="2"/>
      <c r="E15" s="2"/>
      <c r="G15" s="2"/>
      <c r="H15" s="2"/>
      <c r="I15" s="2"/>
      <c r="J15" s="2"/>
    </row>
    <row r="16" spans="1:10" x14ac:dyDescent="0.2">
      <c r="A16" s="11" t="s">
        <v>17</v>
      </c>
      <c r="B16" s="21">
        <f>B6</f>
        <v>464.12387499999994</v>
      </c>
      <c r="C16" s="2"/>
      <c r="D16" s="2"/>
      <c r="E16" s="2"/>
      <c r="G16" s="20" t="s">
        <v>16</v>
      </c>
      <c r="H16" s="20"/>
      <c r="I16" s="20"/>
      <c r="J16" s="20"/>
    </row>
    <row r="17" spans="1:10" x14ac:dyDescent="0.2">
      <c r="A17" s="13" t="s">
        <v>19</v>
      </c>
      <c r="B17" s="23">
        <f>B6-(B10*B7)</f>
        <v>423.16100049999994</v>
      </c>
      <c r="C17" s="2"/>
      <c r="D17" s="2"/>
      <c r="E17" s="2"/>
      <c r="G17" s="22" t="s">
        <v>18</v>
      </c>
      <c r="H17" s="22"/>
      <c r="I17" s="22"/>
      <c r="J17" s="22"/>
    </row>
    <row r="18" spans="1:10" x14ac:dyDescent="0.2">
      <c r="A18" s="2"/>
      <c r="B18" s="2"/>
      <c r="C18" s="2"/>
      <c r="D18" s="2"/>
      <c r="E18" s="2"/>
      <c r="G18" s="22" t="s">
        <v>20</v>
      </c>
      <c r="H18" s="22"/>
      <c r="I18" s="22"/>
      <c r="J18" s="22"/>
    </row>
    <row r="19" spans="1:10" x14ac:dyDescent="0.2">
      <c r="A19" s="5" t="s">
        <v>21</v>
      </c>
      <c r="B19" s="5"/>
      <c r="C19" s="5"/>
      <c r="D19" s="2"/>
      <c r="E19" s="2"/>
    </row>
    <row r="20" spans="1:10" x14ac:dyDescent="0.2">
      <c r="A20" s="7" t="s">
        <v>15</v>
      </c>
      <c r="B20" s="19">
        <f>B12*B7</f>
        <v>128.22672100000003</v>
      </c>
      <c r="C20" s="2"/>
      <c r="D20" s="2"/>
      <c r="E20" s="2"/>
    </row>
    <row r="21" spans="1:10" x14ac:dyDescent="0.2">
      <c r="A21" s="11" t="s">
        <v>17</v>
      </c>
      <c r="B21" s="21">
        <f>B7</f>
        <v>56.190500000000007</v>
      </c>
      <c r="C21" s="2"/>
      <c r="D21" s="2"/>
      <c r="E21" s="2"/>
    </row>
    <row r="22" spans="1:10" x14ac:dyDescent="0.2">
      <c r="A22" s="13" t="s">
        <v>19</v>
      </c>
      <c r="B22" s="23">
        <f>B11*B7</f>
        <v>0</v>
      </c>
      <c r="C22" s="2"/>
      <c r="D22" s="2"/>
      <c r="E22" s="2"/>
    </row>
    <row r="23" spans="1:10" x14ac:dyDescent="0.2">
      <c r="A23" s="2"/>
      <c r="B23" s="2"/>
      <c r="C23" s="2"/>
      <c r="D23" s="2"/>
      <c r="E23" s="2"/>
    </row>
    <row r="24" spans="1:10" x14ac:dyDescent="0.2">
      <c r="A24" s="2"/>
      <c r="B24" s="2"/>
      <c r="C24" s="2"/>
      <c r="D24" s="2"/>
      <c r="E24" s="2"/>
    </row>
    <row r="25" spans="1:10" x14ac:dyDescent="0.2">
      <c r="A25" s="24" t="s">
        <v>22</v>
      </c>
      <c r="B25" s="24"/>
      <c r="C25" s="24"/>
      <c r="D25" s="24"/>
      <c r="E25" s="2"/>
    </row>
    <row r="26" spans="1:10" x14ac:dyDescent="0.2">
      <c r="A26" s="6" t="s">
        <v>23</v>
      </c>
      <c r="B26" s="6" t="s">
        <v>24</v>
      </c>
      <c r="C26" s="6" t="s">
        <v>25</v>
      </c>
      <c r="D26" s="6" t="s">
        <v>26</v>
      </c>
      <c r="E26" s="2"/>
    </row>
    <row r="27" spans="1:10" ht="28" x14ac:dyDescent="0.2">
      <c r="A27" s="25" t="s">
        <v>27</v>
      </c>
      <c r="B27" s="25" t="s">
        <v>28</v>
      </c>
      <c r="C27" s="26" t="s">
        <v>70</v>
      </c>
      <c r="D27" s="26" t="str">
        <f>TEXT($B$6,"0.00")&amp;" + ("&amp;TEXT($B$10,"0.000")&amp;" × "&amp;TEXT($B$7,"0.00")&amp;") = "&amp;TEXT($B$15,"0.00")</f>
        <v>464.12 + (0.729 × 56.19) = 505.09</v>
      </c>
      <c r="E27" s="2"/>
    </row>
    <row r="28" spans="1:10" ht="28" x14ac:dyDescent="0.2">
      <c r="A28" s="25" t="s">
        <v>27</v>
      </c>
      <c r="B28" s="25" t="s">
        <v>29</v>
      </c>
      <c r="C28" s="26" t="s">
        <v>30</v>
      </c>
      <c r="D28" s="26" t="str">
        <f>TEXT($B$6,"0.00")</f>
        <v>464.12</v>
      </c>
      <c r="E28" s="2"/>
    </row>
    <row r="29" spans="1:10" ht="28" x14ac:dyDescent="0.2">
      <c r="A29" s="25" t="s">
        <v>27</v>
      </c>
      <c r="B29" s="25" t="s">
        <v>31</v>
      </c>
      <c r="C29" s="26" t="s">
        <v>32</v>
      </c>
      <c r="D29" s="26" t="str">
        <f>TEXT($B$6,"0.00")&amp;" − ("&amp;TEXT($B$10,"0.000")&amp;" × "&amp;TEXT($B$7,"0.00")&amp;") = "&amp;TEXT($B$17,"0.00")</f>
        <v>464.12 − (0.729 × 56.19) = 423.16</v>
      </c>
      <c r="E29" s="2"/>
    </row>
    <row r="30" spans="1:10" x14ac:dyDescent="0.2">
      <c r="A30" s="27"/>
      <c r="B30" s="27"/>
      <c r="C30" s="28"/>
      <c r="D30" s="28"/>
      <c r="E30" s="2"/>
    </row>
    <row r="31" spans="1:10" ht="42" x14ac:dyDescent="0.2">
      <c r="A31" s="25" t="s">
        <v>33</v>
      </c>
      <c r="B31" s="25" t="s">
        <v>28</v>
      </c>
      <c r="C31" s="26" t="s">
        <v>34</v>
      </c>
      <c r="D31" s="26" t="str">
        <f>TEXT($B$12,"0.000")&amp;" × "&amp;TEXT($B$7,"0.00")&amp;" = "&amp;TEXT($B$20,"0.00")</f>
        <v>2.282 × 56.19 = 128.23</v>
      </c>
      <c r="E31" s="2"/>
    </row>
    <row r="32" spans="1:10" ht="42" x14ac:dyDescent="0.2">
      <c r="A32" s="25" t="s">
        <v>33</v>
      </c>
      <c r="B32" s="25" t="s">
        <v>29</v>
      </c>
      <c r="C32" s="26" t="s">
        <v>35</v>
      </c>
      <c r="D32" s="26" t="str">
        <f>TEXT($B$7,"0.00")</f>
        <v>56.19</v>
      </c>
      <c r="E32" s="2"/>
    </row>
    <row r="33" spans="1:5" ht="42" x14ac:dyDescent="0.2">
      <c r="A33" s="25" t="s">
        <v>33</v>
      </c>
      <c r="B33" s="25" t="s">
        <v>31</v>
      </c>
      <c r="C33" s="26" t="s">
        <v>36</v>
      </c>
      <c r="D33" s="26" t="str">
        <f>TEXT($B$11,"0.000")&amp;" × "&amp;TEXT($B$7,"0.00")&amp;" = "&amp;TEXT($B$22,"0.00")</f>
        <v>0.000 × 56.19 = 0.00</v>
      </c>
      <c r="E33" s="2"/>
    </row>
  </sheetData>
  <mergeCells count="11">
    <mergeCell ref="A25:D25"/>
    <mergeCell ref="G4:J4"/>
    <mergeCell ref="G16:J16"/>
    <mergeCell ref="G17:J17"/>
    <mergeCell ref="G18:J18"/>
    <mergeCell ref="A1:E1"/>
    <mergeCell ref="A2:E2"/>
    <mergeCell ref="A4:C4"/>
    <mergeCell ref="A9:C9"/>
    <mergeCell ref="A14:C14"/>
    <mergeCell ref="A19:C19"/>
  </mergeCells>
  <dataValidations count="1">
    <dataValidation type="list" sqref="B5" xr:uid="{2C5B99B3-43E0-E144-A4C2-62BF1933BE64}">
      <formula1>$H$6:$H$14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FC5FD-4986-C343-A5E2-71A8C71C6C06}">
  <dimension ref="G69"/>
  <sheetViews>
    <sheetView topLeftCell="A38" zoomScale="43" workbookViewId="0">
      <selection activeCell="AC71" sqref="AC71"/>
    </sheetView>
  </sheetViews>
  <sheetFormatPr baseColWidth="10" defaultRowHeight="16" x14ac:dyDescent="0.2"/>
  <sheetData>
    <row r="69" spans="7:7" ht="24" x14ac:dyDescent="0.3">
      <c r="G69" s="2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Package Weight</vt:lpstr>
      <vt:lpstr>SPC Calculator</vt:lpstr>
      <vt:lpstr>Control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semor Adawudu</dc:creator>
  <cp:lastModifiedBy>semor Adawudu</cp:lastModifiedBy>
  <dcterms:created xsi:type="dcterms:W3CDTF">2026-09-05T10:28:16Z</dcterms:created>
  <dcterms:modified xsi:type="dcterms:W3CDTF">2026-09-10T05:23:05Z</dcterms:modified>
</cp:coreProperties>
</file>