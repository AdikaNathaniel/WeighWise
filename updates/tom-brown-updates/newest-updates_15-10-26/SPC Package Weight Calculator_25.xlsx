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/Downloads/"/>
    </mc:Choice>
  </mc:AlternateContent>
  <xr:revisionPtr revIDLastSave="0" documentId="8_{E194C4FA-67FE-CD42-A573-719F2989BCB9}" xr6:coauthVersionLast="47" xr6:coauthVersionMax="47" xr10:uidLastSave="{00000000-0000-0000-0000-000000000000}"/>
  <bookViews>
    <workbookView xWindow="20" yWindow="500" windowWidth="23020" windowHeight="12460" xr2:uid="{1C3ED688-97B2-9C48-A622-DC18065987A1}"/>
  </bookViews>
  <sheets>
    <sheet name="Package Weight" sheetId="2" r:id="rId1"/>
    <sheet name="SPC Calculator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M22" i="2"/>
  <c r="M23" i="2"/>
  <c r="M24" i="2"/>
  <c r="M25" i="2"/>
  <c r="M26" i="2"/>
  <c r="L22" i="2"/>
  <c r="L23" i="2"/>
  <c r="L24" i="2"/>
  <c r="L25" i="2"/>
  <c r="L26" i="2"/>
  <c r="K22" i="2"/>
  <c r="K23" i="2"/>
  <c r="K24" i="2"/>
  <c r="K25" i="2"/>
  <c r="K26" i="2"/>
  <c r="J22" i="2"/>
  <c r="J23" i="2"/>
  <c r="J24" i="2"/>
  <c r="J25" i="2"/>
  <c r="J26" i="2"/>
  <c r="I22" i="2"/>
  <c r="I23" i="2"/>
  <c r="I24" i="2"/>
  <c r="I25" i="2"/>
  <c r="I26" i="2"/>
  <c r="H22" i="2"/>
  <c r="H23" i="2"/>
  <c r="H24" i="2"/>
  <c r="H25" i="2"/>
  <c r="H26" i="2"/>
  <c r="G22" i="2"/>
  <c r="G23" i="2"/>
  <c r="G24" i="2"/>
  <c r="G25" i="2"/>
  <c r="G26" i="2"/>
  <c r="F22" i="2"/>
  <c r="F23" i="2"/>
  <c r="F24" i="2"/>
  <c r="F25" i="2"/>
  <c r="F26" i="2"/>
  <c r="D33" i="3"/>
  <c r="D32" i="3"/>
  <c r="D31" i="3"/>
  <c r="D29" i="3"/>
  <c r="D28" i="3"/>
  <c r="D27" i="3"/>
  <c r="B12" i="3"/>
  <c r="B11" i="3"/>
  <c r="B10" i="3"/>
  <c r="B7" i="3"/>
  <c r="B6" i="3"/>
  <c r="B22" i="3"/>
  <c r="M21" i="2"/>
  <c r="L21" i="2"/>
  <c r="K21" i="2"/>
  <c r="J21" i="2"/>
  <c r="I21" i="2"/>
  <c r="H21" i="2"/>
  <c r="G21" i="2"/>
  <c r="F21" i="2"/>
  <c r="M20" i="2"/>
  <c r="L20" i="2"/>
  <c r="K20" i="2"/>
  <c r="J20" i="2"/>
  <c r="I20" i="2"/>
  <c r="H20" i="2"/>
  <c r="G20" i="2"/>
  <c r="F20" i="2"/>
  <c r="M19" i="2"/>
  <c r="L19" i="2"/>
  <c r="K19" i="2"/>
  <c r="J19" i="2"/>
  <c r="I19" i="2"/>
  <c r="H19" i="2"/>
  <c r="G19" i="2"/>
  <c r="F19" i="2"/>
  <c r="M18" i="2"/>
  <c r="L18" i="2"/>
  <c r="K18" i="2"/>
  <c r="J18" i="2"/>
  <c r="I18" i="2"/>
  <c r="H18" i="2"/>
  <c r="G18" i="2"/>
  <c r="F18" i="2"/>
  <c r="M17" i="2"/>
  <c r="L17" i="2"/>
  <c r="K17" i="2"/>
  <c r="J17" i="2"/>
  <c r="I17" i="2"/>
  <c r="H17" i="2"/>
  <c r="G17" i="2"/>
  <c r="F17" i="2"/>
  <c r="M16" i="2"/>
  <c r="L16" i="2"/>
  <c r="K16" i="2"/>
  <c r="J16" i="2"/>
  <c r="I16" i="2"/>
  <c r="H16" i="2"/>
  <c r="G16" i="2"/>
  <c r="F16" i="2"/>
  <c r="M15" i="2"/>
  <c r="L15" i="2"/>
  <c r="K15" i="2"/>
  <c r="J15" i="2"/>
  <c r="I15" i="2"/>
  <c r="H15" i="2"/>
  <c r="G15" i="2"/>
  <c r="F15" i="2"/>
  <c r="M14" i="2"/>
  <c r="L14" i="2"/>
  <c r="K14" i="2"/>
  <c r="J14" i="2"/>
  <c r="I14" i="2"/>
  <c r="H14" i="2"/>
  <c r="G14" i="2"/>
  <c r="F14" i="2"/>
  <c r="M13" i="2"/>
  <c r="L13" i="2"/>
  <c r="K13" i="2"/>
  <c r="J13" i="2"/>
  <c r="I13" i="2"/>
  <c r="H13" i="2"/>
  <c r="G13" i="2"/>
  <c r="F13" i="2"/>
  <c r="M12" i="2"/>
  <c r="L12" i="2"/>
  <c r="K12" i="2"/>
  <c r="J12" i="2"/>
  <c r="I12" i="2"/>
  <c r="H12" i="2"/>
  <c r="G12" i="2"/>
  <c r="F12" i="2"/>
  <c r="M11" i="2"/>
  <c r="L11" i="2"/>
  <c r="K11" i="2"/>
  <c r="J11" i="2"/>
  <c r="I11" i="2"/>
  <c r="H11" i="2"/>
  <c r="G11" i="2"/>
  <c r="F11" i="2"/>
  <c r="M10" i="2"/>
  <c r="L10" i="2"/>
  <c r="K10" i="2"/>
  <c r="J10" i="2"/>
  <c r="I10" i="2"/>
  <c r="H10" i="2"/>
  <c r="G10" i="2"/>
  <c r="F10" i="2"/>
  <c r="M9" i="2"/>
  <c r="L9" i="2"/>
  <c r="K9" i="2"/>
  <c r="J9" i="2"/>
  <c r="I9" i="2"/>
  <c r="H9" i="2"/>
  <c r="G9" i="2"/>
  <c r="F9" i="2"/>
  <c r="M8" i="2"/>
  <c r="L8" i="2"/>
  <c r="K8" i="2"/>
  <c r="J8" i="2"/>
  <c r="I8" i="2"/>
  <c r="H8" i="2"/>
  <c r="G8" i="2"/>
  <c r="F8" i="2"/>
  <c r="M7" i="2"/>
  <c r="L7" i="2"/>
  <c r="K7" i="2"/>
  <c r="J7" i="2"/>
  <c r="I7" i="2"/>
  <c r="H7" i="2"/>
  <c r="G7" i="2"/>
  <c r="F7" i="2"/>
  <c r="M6" i="2"/>
  <c r="L6" i="2"/>
  <c r="K6" i="2"/>
  <c r="J6" i="2"/>
  <c r="I6" i="2"/>
  <c r="H6" i="2"/>
  <c r="G6" i="2"/>
  <c r="F6" i="2"/>
  <c r="M5" i="2"/>
  <c r="L5" i="2"/>
  <c r="K5" i="2"/>
  <c r="J5" i="2"/>
  <c r="I5" i="2"/>
  <c r="H5" i="2"/>
  <c r="G5" i="2"/>
  <c r="F5" i="2"/>
  <c r="M4" i="2"/>
  <c r="L4" i="2"/>
  <c r="K4" i="2"/>
  <c r="J4" i="2"/>
  <c r="I4" i="2"/>
  <c r="H4" i="2"/>
  <c r="G4" i="2"/>
  <c r="F4" i="2"/>
  <c r="M3" i="2"/>
  <c r="L3" i="2"/>
  <c r="K3" i="2"/>
  <c r="J3" i="2"/>
  <c r="I3" i="2"/>
  <c r="H3" i="2"/>
  <c r="G3" i="2"/>
  <c r="F3" i="2"/>
  <c r="M2" i="2"/>
  <c r="L2" i="2"/>
  <c r="K2" i="2"/>
  <c r="J2" i="2"/>
  <c r="I2" i="2"/>
  <c r="H2" i="2"/>
  <c r="G2" i="2"/>
  <c r="F2" i="2"/>
  <c r="B17" i="3" l="1"/>
  <c r="B15" i="3"/>
  <c r="B21" i="3"/>
  <c r="B16" i="3"/>
  <c r="B20" i="3"/>
</calcChain>
</file>

<file path=xl/sharedStrings.xml><?xml version="1.0" encoding="utf-8"?>
<sst xmlns="http://schemas.openxmlformats.org/spreadsheetml/2006/main" count="63" uniqueCount="50">
  <si>
    <t>Range</t>
  </si>
  <si>
    <t>Mean</t>
  </si>
  <si>
    <t>X-bar and R Control Chart Calculator</t>
  </si>
  <si>
    <t>Enter the subgroup sample size, grand mean and average range in the yellow cells.</t>
  </si>
  <si>
    <t>Verified NIST constants</t>
  </si>
  <si>
    <t>Inputs</t>
  </si>
  <si>
    <t>Sample size (n)</t>
  </si>
  <si>
    <t>A2</t>
  </si>
  <si>
    <t>D3</t>
  </si>
  <si>
    <t>D4</t>
  </si>
  <si>
    <t>Subgroup sample size (n)</t>
  </si>
  <si>
    <t>Grand mean (X-double-bar)</t>
  </si>
  <si>
    <t>Average range (R-bar)</t>
  </si>
  <si>
    <t>Selected constants</t>
  </si>
  <si>
    <t>X-bar chart limits</t>
  </si>
  <si>
    <t>Upper control limit (UCL)</t>
  </si>
  <si>
    <t>Source</t>
  </si>
  <si>
    <t>Centre line (CL)</t>
  </si>
  <si>
    <t>NIST/SEMATECH Engineering Statistics Handbook, Section 6.3.2.1, pp. 53–55</t>
  </si>
  <si>
    <t>Lower control limit (LCL)</t>
  </si>
  <si>
    <t>https://www.itl.nist.gov/div898/handbook/toolaids/pff/pmc.pdf</t>
  </si>
  <si>
    <t>R chart limits</t>
  </si>
  <si>
    <t>Control Chart Formula Guide</t>
  </si>
  <si>
    <t>Chart</t>
  </si>
  <si>
    <t>Limit</t>
  </si>
  <si>
    <t>Statistical formula</t>
  </si>
  <si>
    <t>Calculation using current data</t>
  </si>
  <si>
    <t>X-bar</t>
  </si>
  <si>
    <t>UCL</t>
  </si>
  <si>
    <t>CL</t>
  </si>
  <si>
    <t>CL = Grand mean</t>
  </si>
  <si>
    <t>LCL</t>
  </si>
  <si>
    <t>LCL = Grand mean − A2 × Average range</t>
  </si>
  <si>
    <t>R chart</t>
  </si>
  <si>
    <t>UCL = D4 × Average range</t>
  </si>
  <si>
    <t>CL = Average range</t>
  </si>
  <si>
    <t>LCL = D3 × Average range</t>
  </si>
  <si>
    <t>Production date</t>
  </si>
  <si>
    <t>Sample 1 (g)</t>
  </si>
  <si>
    <t>Sample 2 (g)</t>
  </si>
  <si>
    <t>Sample 3 (g)</t>
  </si>
  <si>
    <t>Sample 4 (g)</t>
  </si>
  <si>
    <t>X-bar UCL</t>
  </si>
  <si>
    <t>X-bar CL</t>
  </si>
  <si>
    <t>X-bar LCL</t>
  </si>
  <si>
    <t>R UCL</t>
  </si>
  <si>
    <t>R CL</t>
  </si>
  <si>
    <t>R LCL</t>
  </si>
  <si>
    <t>Date label</t>
  </si>
  <si>
    <t>UCL = Grand mean +  A2 × Average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</si>
</sst>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\-mmm\-yyyy"/>
  </numFmts>
  <fonts count="13" x14ac:knownFonts="1">
    <font>
      <sz val="12"/>
      <color theme="1"/>
      <name val="Calibri"/>
      <family val="2"/>
      <scheme val="minor"/>
    </font>
    <font>
      <sz val="18"/>
      <color rgb="FF000000"/>
      <name val="Times New Roman"/>
      <family val="1"/>
    </font>
    <font>
      <b/>
      <sz val="18"/>
      <color rgb="FFFFFFFF"/>
      <name val="Times New Roman"/>
      <family val="1"/>
    </font>
    <font>
      <sz val="18"/>
      <color theme="1"/>
      <name val="Times New Roman"/>
      <family val="1"/>
    </font>
    <font>
      <sz val="18"/>
      <color rgb="FF262626"/>
      <name val="Times New Roman"/>
      <family val="1"/>
    </font>
    <font>
      <b/>
      <sz val="14"/>
      <color rgb="FF17365D"/>
      <name val="Arial"/>
      <family val="2"/>
    </font>
    <font>
      <sz val="14"/>
      <color theme="1"/>
      <name val="Calibri"/>
      <family val="2"/>
      <scheme val="minor"/>
    </font>
    <font>
      <i/>
      <sz val="14"/>
      <color rgb="FF595959"/>
      <name val="Arial"/>
      <family val="2"/>
    </font>
    <font>
      <sz val="14"/>
      <name val="Arial"/>
      <family val="2"/>
    </font>
    <font>
      <b/>
      <sz val="14"/>
      <color rgb="FFFFFFFF"/>
      <name val="Arial"/>
      <family val="2"/>
    </font>
    <font>
      <b/>
      <sz val="14"/>
      <color rgb="FF375623"/>
      <name val="Arial"/>
      <family val="2"/>
    </font>
    <font>
      <sz val="14"/>
      <color rgb="FF595959"/>
      <name val="Arial"/>
      <family val="2"/>
    </font>
    <font>
      <sz val="14"/>
      <color rgb="FF26262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7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3">
    <xf numFmtId="0" fontId="0" fillId="0" borderId="0" xfId="0"/>
    <xf numFmtId="165" fontId="1" fillId="10" borderId="15" xfId="0" applyNumberFormat="1" applyFont="1" applyFill="1" applyBorder="1"/>
    <xf numFmtId="0" fontId="2" fillId="3" borderId="0" xfId="0" applyFont="1" applyFill="1" applyAlignment="1">
      <alignment horizontal="center" vertical="center" wrapText="1"/>
    </xf>
    <xf numFmtId="0" fontId="3" fillId="0" borderId="0" xfId="0" applyFont="1"/>
    <xf numFmtId="14" fontId="4" fillId="8" borderId="9" xfId="0" applyNumberFormat="1" applyFont="1" applyFill="1" applyBorder="1" applyAlignment="1">
      <alignment vertical="center"/>
    </xf>
    <xf numFmtId="2" fontId="4" fillId="8" borderId="10" xfId="0" applyNumberFormat="1" applyFont="1" applyFill="1" applyBorder="1" applyAlignment="1">
      <alignment vertical="center"/>
    </xf>
    <xf numFmtId="0" fontId="4" fillId="8" borderId="11" xfId="0" applyFont="1" applyFill="1" applyBorder="1" applyAlignment="1">
      <alignment vertical="center"/>
    </xf>
    <xf numFmtId="14" fontId="4" fillId="9" borderId="12" xfId="0" applyNumberFormat="1" applyFont="1" applyFill="1" applyBorder="1" applyAlignment="1">
      <alignment vertical="center"/>
    </xf>
    <xf numFmtId="2" fontId="4" fillId="9" borderId="8" xfId="0" applyNumberFormat="1" applyFont="1" applyFill="1" applyBorder="1" applyAlignment="1">
      <alignment vertical="center"/>
    </xf>
    <xf numFmtId="14" fontId="4" fillId="8" borderId="12" xfId="0" applyNumberFormat="1" applyFont="1" applyFill="1" applyBorder="1" applyAlignment="1">
      <alignment vertical="center"/>
    </xf>
    <xf numFmtId="2" fontId="4" fillId="8" borderId="8" xfId="0" applyNumberFormat="1" applyFont="1" applyFill="1" applyBorder="1" applyAlignment="1">
      <alignment vertical="center"/>
    </xf>
    <xf numFmtId="14" fontId="4" fillId="9" borderId="13" xfId="0" applyNumberFormat="1" applyFont="1" applyFill="1" applyBorder="1" applyAlignment="1">
      <alignment vertical="center"/>
    </xf>
    <xf numFmtId="2" fontId="4" fillId="9" borderId="14" xfId="0" applyNumberFormat="1" applyFont="1" applyFill="1" applyBorder="1" applyAlignment="1">
      <alignment vertical="center"/>
    </xf>
    <xf numFmtId="2" fontId="3" fillId="8" borderId="16" xfId="0" applyNumberFormat="1" applyFont="1" applyFill="1" applyBorder="1"/>
    <xf numFmtId="0" fontId="6" fillId="0" borderId="0" xfId="0" applyFont="1"/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1" fontId="8" fillId="5" borderId="3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2" fontId="8" fillId="5" borderId="5" xfId="0" applyNumberFormat="1" applyFont="1" applyFill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6" xfId="0" applyFont="1" applyBorder="1" applyAlignment="1">
      <alignment vertical="center"/>
    </xf>
    <xf numFmtId="2" fontId="8" fillId="5" borderId="7" xfId="0" applyNumberFormat="1" applyFont="1" applyFill="1" applyBorder="1" applyAlignment="1">
      <alignment vertical="center"/>
    </xf>
    <xf numFmtId="164" fontId="8" fillId="0" borderId="3" xfId="0" applyNumberFormat="1" applyFont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4" fontId="8" fillId="0" borderId="7" xfId="0" applyNumberFormat="1" applyFont="1" applyBorder="1" applyAlignment="1">
      <alignment vertical="center"/>
    </xf>
    <xf numFmtId="2" fontId="8" fillId="0" borderId="3" xfId="0" applyNumberFormat="1" applyFont="1" applyBorder="1" applyAlignment="1">
      <alignment vertical="center"/>
    </xf>
    <xf numFmtId="2" fontId="8" fillId="0" borderId="5" xfId="0" applyNumberFormat="1" applyFont="1" applyBorder="1" applyAlignment="1">
      <alignment vertical="center"/>
    </xf>
    <xf numFmtId="2" fontId="8" fillId="0" borderId="7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2">
    <dxf>
      <fill>
        <patternFill>
          <bgColor rgb="FFFDE2E2"/>
        </patternFill>
      </fill>
    </dxf>
    <dxf>
      <font>
        <color rgb="FF9CA3AF"/>
      </font>
      <fill>
        <patternFill>
          <bgColor rgb="FFE5E7E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X- bar</a:t>
            </a:r>
            <a:r>
              <a:rPr lang="en-US" sz="2400" baseline="0"/>
              <a:t> chart for Tom Brown package weight</a:t>
            </a:r>
            <a:endParaRPr lang="en-US" sz="2400"/>
          </a:p>
        </c:rich>
      </c:tx>
      <c:layout>
        <c:manualLayout>
          <c:xMode val="edge"/>
          <c:yMode val="edge"/>
          <c:x val="0.40756483720598363"/>
          <c:y val="1.72279543228600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>
        <c:manualLayout>
          <c:layoutTarget val="inner"/>
          <c:xMode val="edge"/>
          <c:yMode val="edge"/>
          <c:x val="5.9182336567377598E-2"/>
          <c:y val="0.1989724723516203"/>
          <c:w val="0.93037171982848299"/>
          <c:h val="0.67272373204215619"/>
        </c:manualLayout>
      </c:layout>
      <c:lineChart>
        <c:grouping val="standard"/>
        <c:varyColors val="0"/>
        <c:ser>
          <c:idx val="0"/>
          <c:order val="0"/>
          <c:tx>
            <c:strRef>
              <c:f>'Package Weight'!$G$1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fld id="{9A5FFAEC-4A95-F648-B726-FCF3564FDF9F}" type="CELLRANGE">
                      <a:rPr lang="en-US"/>
                      <a:pPr>
                        <a:defRPr sz="1400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GH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C1-624C-9C1F-626336C850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00EDFE-EFE5-9F47-998A-7402F7464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2C1-624C-9C1F-626336C850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F84C54-0FD4-E74E-909D-3F20C33585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2C1-624C-9C1F-626336C850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EBC259-3D55-9045-A98F-D7916FB3AF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2C1-624C-9C1F-626336C850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6FDC277-9811-C44A-AF3F-E3A20EBBB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2C1-624C-9C1F-626336C850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4424302-9F90-4D45-8B2F-CCC4D9808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2C1-624C-9C1F-626336C8502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C1EE76D-E02C-754A-BFCB-D5C9AF40F2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2C1-624C-9C1F-626336C8502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A22129-DEB1-C343-84C7-9AC598C860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2C1-624C-9C1F-626336C8502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7347983-30F1-0142-8780-32F0431177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2C1-624C-9C1F-626336C8502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27239EC-0FAB-0E4E-B665-B9D596284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2C1-624C-9C1F-626336C8502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32DCADE-E413-1A4C-8E1C-49A87FC4F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2C1-624C-9C1F-626336C8502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A320B8-FE0B-B446-9945-3CEF7EC38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2C1-624C-9C1F-626336C8502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F6EA1A2-D3C0-A343-AB3F-158685661E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2C1-624C-9C1F-626336C8502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5CD50F6-814A-2B49-AE28-B302C8413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2C1-624C-9C1F-626336C8502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6D70D22-110A-6443-A7AF-3B04892690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2C1-624C-9C1F-626336C8502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9801A1C-345F-B545-9F4C-55C0EFD314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2C1-624C-9C1F-626336C8502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2D9DD77-E2DB-8E4D-B7CB-3B74D64211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2C1-624C-9C1F-626336C8502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9E3D1FB-2B8F-D445-855B-252EBBB8C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2C1-624C-9C1F-626336C8502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C80A76E-543D-5847-8712-42ACB1DFB4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2C1-624C-9C1F-626336C8502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6101A09-ADD0-424C-BCD9-21D0C70DB7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2C1-624C-9C1F-626336C8502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0356448-64BB-2F49-BB2A-01472E471B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2C1-624C-9C1F-626336C850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9762A60-49A6-4649-B1C6-B6714F3AD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2C1-624C-9C1F-626336C8502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29C4FA4-A270-7140-9404-2640816C2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2C1-624C-9C1F-626336C8502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D709AB7-634A-3940-BD65-5EA8CAFF6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2C1-624C-9C1F-626336C8502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687940E1-EB73-4D49-8C15-DC903D846E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2C1-624C-9C1F-626336C850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Weight'!$G$2:$G$26</c:f>
              <c:numCache>
                <c:formatCode>0.00</c:formatCode>
                <c:ptCount val="25"/>
                <c:pt idx="0">
                  <c:v>491.79249999999996</c:v>
                </c:pt>
                <c:pt idx="1">
                  <c:v>436.77249999999998</c:v>
                </c:pt>
                <c:pt idx="2">
                  <c:v>447.33500000000004</c:v>
                </c:pt>
                <c:pt idx="3">
                  <c:v>437.69</c:v>
                </c:pt>
                <c:pt idx="4">
                  <c:v>420.71749999999997</c:v>
                </c:pt>
                <c:pt idx="5">
                  <c:v>507.17000000000007</c:v>
                </c:pt>
                <c:pt idx="6">
                  <c:v>462.80250000000001</c:v>
                </c:pt>
                <c:pt idx="7">
                  <c:v>456.255</c:v>
                </c:pt>
                <c:pt idx="8">
                  <c:v>442.435</c:v>
                </c:pt>
                <c:pt idx="9">
                  <c:v>407.03500000000003</c:v>
                </c:pt>
                <c:pt idx="10">
                  <c:v>387.27750000000003</c:v>
                </c:pt>
                <c:pt idx="11">
                  <c:v>525.27499999999998</c:v>
                </c:pt>
                <c:pt idx="12">
                  <c:v>588.15</c:v>
                </c:pt>
                <c:pt idx="13">
                  <c:v>596.21499999999992</c:v>
                </c:pt>
                <c:pt idx="14">
                  <c:v>443.38749999999999</c:v>
                </c:pt>
                <c:pt idx="15">
                  <c:v>450.57</c:v>
                </c:pt>
                <c:pt idx="16">
                  <c:v>418.17</c:v>
                </c:pt>
                <c:pt idx="17">
                  <c:v>437.70499999999998</c:v>
                </c:pt>
                <c:pt idx="18">
                  <c:v>461.21249999999998</c:v>
                </c:pt>
                <c:pt idx="19">
                  <c:v>464.51</c:v>
                </c:pt>
                <c:pt idx="20">
                  <c:v>470.73</c:v>
                </c:pt>
                <c:pt idx="21">
                  <c:v>467.995</c:v>
                </c:pt>
                <c:pt idx="22">
                  <c:v>465.47750000000002</c:v>
                </c:pt>
                <c:pt idx="23">
                  <c:v>478.20749999999998</c:v>
                </c:pt>
                <c:pt idx="24">
                  <c:v>490.5625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'Package Weight'!$N$2:$N$26</c15:f>
                <c15:dlblRangeCache>
                  <c:ptCount val="25"/>
                  <c:pt idx="0">
                    <c:v>19-Apr</c:v>
                  </c:pt>
                  <c:pt idx="1">
                    <c:v>08-May</c:v>
                  </c:pt>
                  <c:pt idx="2">
                    <c:v>18-May</c:v>
                  </c:pt>
                  <c:pt idx="3">
                    <c:v>28-May</c:v>
                  </c:pt>
                  <c:pt idx="4">
                    <c:v>11-Jun</c:v>
                  </c:pt>
                  <c:pt idx="5">
                    <c:v>14-Jun</c:v>
                  </c:pt>
                  <c:pt idx="6">
                    <c:v>17-Jun</c:v>
                  </c:pt>
                  <c:pt idx="7">
                    <c:v>19-Jun</c:v>
                  </c:pt>
                  <c:pt idx="8">
                    <c:v>23-Jun</c:v>
                  </c:pt>
                  <c:pt idx="9">
                    <c:v>02-Jul</c:v>
                  </c:pt>
                  <c:pt idx="10">
                    <c:v>03-Jul</c:v>
                  </c:pt>
                  <c:pt idx="11">
                    <c:v>07-Jul</c:v>
                  </c:pt>
                  <c:pt idx="12">
                    <c:v>10-Jul</c:v>
                  </c:pt>
                  <c:pt idx="13">
                    <c:v>17-Jul</c:v>
                  </c:pt>
                  <c:pt idx="14">
                    <c:v>19-Jul</c:v>
                  </c:pt>
                  <c:pt idx="15">
                    <c:v>12-Aug</c:v>
                  </c:pt>
                  <c:pt idx="16">
                    <c:v>15-Aug</c:v>
                  </c:pt>
                  <c:pt idx="17">
                    <c:v>20-Aug</c:v>
                  </c:pt>
                  <c:pt idx="18">
                    <c:v>22-Aug</c:v>
                  </c:pt>
                  <c:pt idx="19">
                    <c:v>29-Aug</c:v>
                  </c:pt>
                  <c:pt idx="20">
                    <c:v>31-Aug</c:v>
                  </c:pt>
                  <c:pt idx="21">
                    <c:v>03-Sep</c:v>
                  </c:pt>
                  <c:pt idx="22">
                    <c:v>05-Sep</c:v>
                  </c:pt>
                  <c:pt idx="23">
                    <c:v>08-Sep</c:v>
                  </c:pt>
                  <c:pt idx="24">
                    <c:v>14-Sep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8A4-8D48-984C-C7CA6FB3874D}"/>
            </c:ext>
          </c:extLst>
        </c:ser>
        <c:ser>
          <c:idx val="1"/>
          <c:order val="1"/>
          <c:tx>
            <c:strRef>
              <c:f>'Package Weight'!$H$1</c:f>
              <c:strCache>
                <c:ptCount val="1"/>
                <c:pt idx="0">
                  <c:v>X-bar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Weight'!$H$2:$H$26</c:f>
              <c:numCache>
                <c:formatCode>0.00</c:formatCode>
                <c:ptCount val="25"/>
                <c:pt idx="0">
                  <c:v>505.08674949999994</c:v>
                </c:pt>
                <c:pt idx="1">
                  <c:v>505.08674949999994</c:v>
                </c:pt>
                <c:pt idx="2">
                  <c:v>505.08674949999994</c:v>
                </c:pt>
                <c:pt idx="3">
                  <c:v>505.08674949999994</c:v>
                </c:pt>
                <c:pt idx="4">
                  <c:v>505.08674949999994</c:v>
                </c:pt>
                <c:pt idx="5">
                  <c:v>505.08674949999994</c:v>
                </c:pt>
                <c:pt idx="6">
                  <c:v>505.08674949999994</c:v>
                </c:pt>
                <c:pt idx="7">
                  <c:v>505.08674949999994</c:v>
                </c:pt>
                <c:pt idx="8">
                  <c:v>505.08674949999994</c:v>
                </c:pt>
                <c:pt idx="9">
                  <c:v>505.08674949999994</c:v>
                </c:pt>
                <c:pt idx="10">
                  <c:v>505.08674949999994</c:v>
                </c:pt>
                <c:pt idx="11">
                  <c:v>505.08674949999994</c:v>
                </c:pt>
                <c:pt idx="12">
                  <c:v>505.08674949999994</c:v>
                </c:pt>
                <c:pt idx="13">
                  <c:v>505.08674949999994</c:v>
                </c:pt>
                <c:pt idx="14">
                  <c:v>505.08674949999994</c:v>
                </c:pt>
                <c:pt idx="15">
                  <c:v>505.08674949999994</c:v>
                </c:pt>
                <c:pt idx="16">
                  <c:v>505.08674949999994</c:v>
                </c:pt>
                <c:pt idx="17">
                  <c:v>505.08674949999994</c:v>
                </c:pt>
                <c:pt idx="18">
                  <c:v>505.08674949999994</c:v>
                </c:pt>
                <c:pt idx="19">
                  <c:v>505.08674949999994</c:v>
                </c:pt>
                <c:pt idx="20">
                  <c:v>505.08674949999994</c:v>
                </c:pt>
                <c:pt idx="21">
                  <c:v>505.08674949999994</c:v>
                </c:pt>
                <c:pt idx="22">
                  <c:v>505.08674949999994</c:v>
                </c:pt>
                <c:pt idx="23">
                  <c:v>505.08674949999994</c:v>
                </c:pt>
                <c:pt idx="24">
                  <c:v>505.08674949999994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4-8D48-984C-C7CA6FB3874D}"/>
            </c:ext>
          </c:extLst>
        </c:ser>
        <c:ser>
          <c:idx val="2"/>
          <c:order val="2"/>
          <c:tx>
            <c:strRef>
              <c:f>'Package Weight'!$I$1</c:f>
              <c:strCache>
                <c:ptCount val="1"/>
                <c:pt idx="0">
                  <c:v>X-bar 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Weight'!$I$2:$I$26</c:f>
              <c:numCache>
                <c:formatCode>0.00</c:formatCode>
                <c:ptCount val="25"/>
                <c:pt idx="0">
                  <c:v>464.12387499999994</c:v>
                </c:pt>
                <c:pt idx="1">
                  <c:v>464.12387499999994</c:v>
                </c:pt>
                <c:pt idx="2">
                  <c:v>464.12387499999994</c:v>
                </c:pt>
                <c:pt idx="3">
                  <c:v>464.12387499999994</c:v>
                </c:pt>
                <c:pt idx="4">
                  <c:v>464.12387499999994</c:v>
                </c:pt>
                <c:pt idx="5">
                  <c:v>464.12387499999994</c:v>
                </c:pt>
                <c:pt idx="6">
                  <c:v>464.12387499999994</c:v>
                </c:pt>
                <c:pt idx="7">
                  <c:v>464.12387499999994</c:v>
                </c:pt>
                <c:pt idx="8">
                  <c:v>464.12387499999994</c:v>
                </c:pt>
                <c:pt idx="9">
                  <c:v>464.12387499999994</c:v>
                </c:pt>
                <c:pt idx="10">
                  <c:v>464.12387499999994</c:v>
                </c:pt>
                <c:pt idx="11">
                  <c:v>464.12387499999994</c:v>
                </c:pt>
                <c:pt idx="12">
                  <c:v>464.12387499999994</c:v>
                </c:pt>
                <c:pt idx="13">
                  <c:v>464.12387499999994</c:v>
                </c:pt>
                <c:pt idx="14">
                  <c:v>464.12387499999994</c:v>
                </c:pt>
                <c:pt idx="15">
                  <c:v>464.12387499999994</c:v>
                </c:pt>
                <c:pt idx="16">
                  <c:v>464.12387499999994</c:v>
                </c:pt>
                <c:pt idx="17">
                  <c:v>464.12387499999994</c:v>
                </c:pt>
                <c:pt idx="18">
                  <c:v>464.12387499999994</c:v>
                </c:pt>
                <c:pt idx="19">
                  <c:v>464.12387499999994</c:v>
                </c:pt>
                <c:pt idx="20">
                  <c:v>464.12387499999994</c:v>
                </c:pt>
                <c:pt idx="21">
                  <c:v>464.12387499999994</c:v>
                </c:pt>
                <c:pt idx="22">
                  <c:v>464.12387499999994</c:v>
                </c:pt>
                <c:pt idx="23">
                  <c:v>464.12387499999994</c:v>
                </c:pt>
                <c:pt idx="24">
                  <c:v>464.12387499999994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4-8D48-984C-C7CA6FB3874D}"/>
            </c:ext>
          </c:extLst>
        </c:ser>
        <c:ser>
          <c:idx val="3"/>
          <c:order val="3"/>
          <c:tx>
            <c:strRef>
              <c:f>'Package Weight'!$J$1</c:f>
              <c:strCache>
                <c:ptCount val="1"/>
                <c:pt idx="0">
                  <c:v>X-bar 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Weight'!$J$2:$J$26</c:f>
              <c:numCache>
                <c:formatCode>0.00</c:formatCode>
                <c:ptCount val="25"/>
                <c:pt idx="0">
                  <c:v>423.16100049999994</c:v>
                </c:pt>
                <c:pt idx="1">
                  <c:v>423.16100049999994</c:v>
                </c:pt>
                <c:pt idx="2">
                  <c:v>423.16100049999994</c:v>
                </c:pt>
                <c:pt idx="3">
                  <c:v>423.16100049999994</c:v>
                </c:pt>
                <c:pt idx="4">
                  <c:v>423.16100049999994</c:v>
                </c:pt>
                <c:pt idx="5">
                  <c:v>423.16100049999994</c:v>
                </c:pt>
                <c:pt idx="6">
                  <c:v>423.16100049999994</c:v>
                </c:pt>
                <c:pt idx="7">
                  <c:v>423.16100049999994</c:v>
                </c:pt>
                <c:pt idx="8">
                  <c:v>423.16100049999994</c:v>
                </c:pt>
                <c:pt idx="9">
                  <c:v>423.16100049999994</c:v>
                </c:pt>
                <c:pt idx="10">
                  <c:v>423.16100049999994</c:v>
                </c:pt>
                <c:pt idx="11">
                  <c:v>423.16100049999994</c:v>
                </c:pt>
                <c:pt idx="12">
                  <c:v>423.16100049999994</c:v>
                </c:pt>
                <c:pt idx="13">
                  <c:v>423.16100049999994</c:v>
                </c:pt>
                <c:pt idx="14">
                  <c:v>423.16100049999994</c:v>
                </c:pt>
                <c:pt idx="15">
                  <c:v>423.16100049999994</c:v>
                </c:pt>
                <c:pt idx="16">
                  <c:v>423.16100049999994</c:v>
                </c:pt>
                <c:pt idx="17">
                  <c:v>423.16100049999994</c:v>
                </c:pt>
                <c:pt idx="18">
                  <c:v>423.16100049999994</c:v>
                </c:pt>
                <c:pt idx="19">
                  <c:v>423.16100049999994</c:v>
                </c:pt>
                <c:pt idx="20">
                  <c:v>423.16100049999994</c:v>
                </c:pt>
                <c:pt idx="21">
                  <c:v>423.16100049999994</c:v>
                </c:pt>
                <c:pt idx="22">
                  <c:v>423.16100049999994</c:v>
                </c:pt>
                <c:pt idx="23">
                  <c:v>423.16100049999994</c:v>
                </c:pt>
                <c:pt idx="24">
                  <c:v>423.16100049999994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A4-8D48-984C-C7CA6FB387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9760575"/>
        <c:axId val="992469743"/>
      </c:lineChart>
      <c:catAx>
        <c:axId val="82976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Production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92469743"/>
        <c:crosses val="autoZero"/>
        <c:auto val="0"/>
        <c:lblAlgn val="ctr"/>
        <c:lblOffset val="100"/>
        <c:noMultiLvlLbl val="1"/>
      </c:catAx>
      <c:valAx>
        <c:axId val="992469743"/>
        <c:scaling>
          <c:orientation val="minMax"/>
          <c:min val="3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Mean Pckage weightAxis Title</a:t>
                </a:r>
              </a:p>
            </c:rich>
          </c:tx>
          <c:layout>
            <c:manualLayout>
              <c:xMode val="edge"/>
              <c:yMode val="edge"/>
              <c:x val="1.0024423184971376E-2"/>
              <c:y val="0.385282554441172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82976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2625155590325"/>
          <c:y val="0.95214969450395914"/>
          <c:w val="0.265474968881935"/>
          <c:h val="4.78503054960406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R-Chart</a:t>
            </a:r>
            <a:r>
              <a:rPr lang="en-US" sz="3200" baseline="0"/>
              <a:t> for Tombrown Package weight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'Package Weight'!$F$1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Weight'!$F$2:$F$26</c:f>
              <c:numCache>
                <c:formatCode>0.00</c:formatCode>
                <c:ptCount val="25"/>
                <c:pt idx="0">
                  <c:v>24.879999999999995</c:v>
                </c:pt>
                <c:pt idx="1">
                  <c:v>54.800000000000011</c:v>
                </c:pt>
                <c:pt idx="2">
                  <c:v>38.850000000000023</c:v>
                </c:pt>
                <c:pt idx="3">
                  <c:v>25.810000000000002</c:v>
                </c:pt>
                <c:pt idx="4">
                  <c:v>27.430000000000007</c:v>
                </c:pt>
                <c:pt idx="5">
                  <c:v>30.430000000000007</c:v>
                </c:pt>
                <c:pt idx="6">
                  <c:v>92.88</c:v>
                </c:pt>
                <c:pt idx="7">
                  <c:v>109.05000000000001</c:v>
                </c:pt>
                <c:pt idx="8">
                  <c:v>38.69</c:v>
                </c:pt>
                <c:pt idx="9">
                  <c:v>57.519999999999982</c:v>
                </c:pt>
                <c:pt idx="10">
                  <c:v>49.139999999999986</c:v>
                </c:pt>
                <c:pt idx="11">
                  <c:v>59.799999999999955</c:v>
                </c:pt>
                <c:pt idx="12">
                  <c:v>148.90000000000003</c:v>
                </c:pt>
                <c:pt idx="13">
                  <c:v>133.65000000000009</c:v>
                </c:pt>
                <c:pt idx="14">
                  <c:v>28.339999999999975</c:v>
                </c:pt>
                <c:pt idx="15">
                  <c:v>13.050000000000011</c:v>
                </c:pt>
                <c:pt idx="16">
                  <c:v>26.259999999999991</c:v>
                </c:pt>
                <c:pt idx="17">
                  <c:v>15.170000000000016</c:v>
                </c:pt>
                <c:pt idx="18">
                  <c:v>85.649999999999977</c:v>
                </c:pt>
                <c:pt idx="19">
                  <c:v>63.509999999999991</c:v>
                </c:pt>
                <c:pt idx="20">
                  <c:v>5.3899999999999864</c:v>
                </c:pt>
                <c:pt idx="21">
                  <c:v>9</c:v>
                </c:pt>
                <c:pt idx="22">
                  <c:v>41.230000000000018</c:v>
                </c:pt>
                <c:pt idx="23">
                  <c:v>30.210000000000036</c:v>
                </c:pt>
                <c:pt idx="24">
                  <c:v>45.840000000000032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21-DB42-BB8C-9A9BFF9E470B}"/>
            </c:ext>
          </c:extLst>
        </c:ser>
        <c:ser>
          <c:idx val="1"/>
          <c:order val="1"/>
          <c:tx>
            <c:strRef>
              <c:f>'Package Weight'!$K$1</c:f>
              <c:strCache>
                <c:ptCount val="1"/>
                <c:pt idx="0">
                  <c:v>R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Weight'!$K$2:$K$26</c:f>
              <c:numCache>
                <c:formatCode>0.00</c:formatCode>
                <c:ptCount val="25"/>
                <c:pt idx="0">
                  <c:v>128.22672100000003</c:v>
                </c:pt>
                <c:pt idx="1">
                  <c:v>128.22672100000003</c:v>
                </c:pt>
                <c:pt idx="2">
                  <c:v>128.22672100000003</c:v>
                </c:pt>
                <c:pt idx="3">
                  <c:v>128.22672100000003</c:v>
                </c:pt>
                <c:pt idx="4">
                  <c:v>128.22672100000003</c:v>
                </c:pt>
                <c:pt idx="5">
                  <c:v>128.22672100000003</c:v>
                </c:pt>
                <c:pt idx="6">
                  <c:v>128.22672100000003</c:v>
                </c:pt>
                <c:pt idx="7">
                  <c:v>128.22672100000003</c:v>
                </c:pt>
                <c:pt idx="8">
                  <c:v>128.22672100000003</c:v>
                </c:pt>
                <c:pt idx="9">
                  <c:v>128.22672100000003</c:v>
                </c:pt>
                <c:pt idx="10">
                  <c:v>128.22672100000003</c:v>
                </c:pt>
                <c:pt idx="11">
                  <c:v>128.22672100000003</c:v>
                </c:pt>
                <c:pt idx="12">
                  <c:v>128.22672100000003</c:v>
                </c:pt>
                <c:pt idx="13">
                  <c:v>128.22672100000003</c:v>
                </c:pt>
                <c:pt idx="14">
                  <c:v>128.22672100000003</c:v>
                </c:pt>
                <c:pt idx="15">
                  <c:v>128.22672100000003</c:v>
                </c:pt>
                <c:pt idx="16">
                  <c:v>128.22672100000003</c:v>
                </c:pt>
                <c:pt idx="17">
                  <c:v>128.22672100000003</c:v>
                </c:pt>
                <c:pt idx="18">
                  <c:v>128.22672100000003</c:v>
                </c:pt>
                <c:pt idx="19">
                  <c:v>128.22672100000003</c:v>
                </c:pt>
                <c:pt idx="20">
                  <c:v>128.22672100000003</c:v>
                </c:pt>
                <c:pt idx="21">
                  <c:v>128.22672100000003</c:v>
                </c:pt>
                <c:pt idx="22">
                  <c:v>128.22672100000003</c:v>
                </c:pt>
                <c:pt idx="23">
                  <c:v>128.22672100000003</c:v>
                </c:pt>
                <c:pt idx="24">
                  <c:v>128.22672100000003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21-DB42-BB8C-9A9BFF9E470B}"/>
            </c:ext>
          </c:extLst>
        </c:ser>
        <c:ser>
          <c:idx val="2"/>
          <c:order val="2"/>
          <c:tx>
            <c:strRef>
              <c:f>'Package Weight'!$L$1</c:f>
              <c:strCache>
                <c:ptCount val="1"/>
                <c:pt idx="0">
                  <c:v>R 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Weight'!$L$2:$L$26</c:f>
              <c:numCache>
                <c:formatCode>0.00</c:formatCode>
                <c:ptCount val="25"/>
                <c:pt idx="0">
                  <c:v>56.190500000000007</c:v>
                </c:pt>
                <c:pt idx="1">
                  <c:v>56.190500000000007</c:v>
                </c:pt>
                <c:pt idx="2">
                  <c:v>56.190500000000007</c:v>
                </c:pt>
                <c:pt idx="3">
                  <c:v>56.190500000000007</c:v>
                </c:pt>
                <c:pt idx="4">
                  <c:v>56.190500000000007</c:v>
                </c:pt>
                <c:pt idx="5">
                  <c:v>56.190500000000007</c:v>
                </c:pt>
                <c:pt idx="6">
                  <c:v>56.190500000000007</c:v>
                </c:pt>
                <c:pt idx="7">
                  <c:v>56.190500000000007</c:v>
                </c:pt>
                <c:pt idx="8">
                  <c:v>56.190500000000007</c:v>
                </c:pt>
                <c:pt idx="9">
                  <c:v>56.190500000000007</c:v>
                </c:pt>
                <c:pt idx="10">
                  <c:v>56.190500000000007</c:v>
                </c:pt>
                <c:pt idx="11">
                  <c:v>56.190500000000007</c:v>
                </c:pt>
                <c:pt idx="12">
                  <c:v>56.190500000000007</c:v>
                </c:pt>
                <c:pt idx="13">
                  <c:v>56.190500000000007</c:v>
                </c:pt>
                <c:pt idx="14">
                  <c:v>56.190500000000007</c:v>
                </c:pt>
                <c:pt idx="15">
                  <c:v>56.190500000000007</c:v>
                </c:pt>
                <c:pt idx="16">
                  <c:v>56.190500000000007</c:v>
                </c:pt>
                <c:pt idx="17">
                  <c:v>56.190500000000007</c:v>
                </c:pt>
                <c:pt idx="18">
                  <c:v>56.190500000000007</c:v>
                </c:pt>
                <c:pt idx="19">
                  <c:v>56.190500000000007</c:v>
                </c:pt>
                <c:pt idx="20">
                  <c:v>56.190500000000007</c:v>
                </c:pt>
                <c:pt idx="21">
                  <c:v>56.190500000000007</c:v>
                </c:pt>
                <c:pt idx="22">
                  <c:v>56.190500000000007</c:v>
                </c:pt>
                <c:pt idx="23">
                  <c:v>56.190500000000007</c:v>
                </c:pt>
                <c:pt idx="24">
                  <c:v>56.190500000000007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21-DB42-BB8C-9A9BFF9E470B}"/>
            </c:ext>
          </c:extLst>
        </c:ser>
        <c:ser>
          <c:idx val="3"/>
          <c:order val="3"/>
          <c:tx>
            <c:strRef>
              <c:f>'Package Weight'!$M$1</c:f>
              <c:strCache>
                <c:ptCount val="1"/>
                <c:pt idx="0">
                  <c:v>R LCL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'Package Weight'!$A$2:$A$26</c:f>
              <c:numCache>
                <c:formatCode>m/d/yy</c:formatCode>
                <c:ptCount val="25"/>
                <c:pt idx="0">
                  <c:v>46131</c:v>
                </c:pt>
                <c:pt idx="1">
                  <c:v>46150</c:v>
                </c:pt>
                <c:pt idx="2">
                  <c:v>46160</c:v>
                </c:pt>
                <c:pt idx="3">
                  <c:v>46170</c:v>
                </c:pt>
                <c:pt idx="4">
                  <c:v>46184</c:v>
                </c:pt>
                <c:pt idx="5">
                  <c:v>46187</c:v>
                </c:pt>
                <c:pt idx="6">
                  <c:v>46190</c:v>
                </c:pt>
                <c:pt idx="7">
                  <c:v>46192</c:v>
                </c:pt>
                <c:pt idx="8">
                  <c:v>46196</c:v>
                </c:pt>
                <c:pt idx="9">
                  <c:v>46205</c:v>
                </c:pt>
                <c:pt idx="10">
                  <c:v>46206</c:v>
                </c:pt>
                <c:pt idx="11">
                  <c:v>46210</c:v>
                </c:pt>
                <c:pt idx="12">
                  <c:v>46213</c:v>
                </c:pt>
                <c:pt idx="13">
                  <c:v>46220</c:v>
                </c:pt>
                <c:pt idx="14">
                  <c:v>46222</c:v>
                </c:pt>
                <c:pt idx="15">
                  <c:v>46246</c:v>
                </c:pt>
                <c:pt idx="16">
                  <c:v>46249</c:v>
                </c:pt>
                <c:pt idx="17">
                  <c:v>46254</c:v>
                </c:pt>
                <c:pt idx="18">
                  <c:v>46256</c:v>
                </c:pt>
                <c:pt idx="19">
                  <c:v>46263</c:v>
                </c:pt>
                <c:pt idx="20" formatCode="dd\-mmm\-yyyy">
                  <c:v>46265</c:v>
                </c:pt>
                <c:pt idx="21" formatCode="dd\-mmm\-yyyy">
                  <c:v>46268</c:v>
                </c:pt>
                <c:pt idx="22" formatCode="dd\-mmm\-yyyy">
                  <c:v>46270</c:v>
                </c:pt>
                <c:pt idx="23" formatCode="dd\-mmm\-yyyy">
                  <c:v>46273</c:v>
                </c:pt>
                <c:pt idx="24" formatCode="dd\-mmm\-yyyy">
                  <c:v>46279</c:v>
                </c:pt>
              </c:numCache>
            </c:numRef>
          </c:cat>
          <c:val>
            <c:numRef>
              <c:f>'Package Weight'!$M$2:$M$26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21-DB42-BB8C-9A9BFF9E4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6177103"/>
        <c:axId val="995703887"/>
      </c:lineChart>
      <c:dateAx>
        <c:axId val="1006177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Production</a:t>
                </a:r>
                <a:r>
                  <a:rPr lang="en-US" sz="2400" baseline="0"/>
                  <a:t> Date</a:t>
                </a:r>
                <a:endParaRPr lang="en-US" sz="2400"/>
              </a:p>
            </c:rich>
          </c:tx>
          <c:layout>
            <c:manualLayout>
              <c:xMode val="edge"/>
              <c:yMode val="edge"/>
              <c:x val="0.38028684203986723"/>
              <c:y val="0.872768699023631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995703887"/>
        <c:crosses val="autoZero"/>
        <c:auto val="1"/>
        <c:lblOffset val="100"/>
        <c:baseTimeUnit val="days"/>
      </c:dateAx>
      <c:valAx>
        <c:axId val="99570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Range</a:t>
                </a:r>
                <a:r>
                  <a:rPr lang="en-US" sz="2400" baseline="0"/>
                  <a:t> of </a:t>
                </a:r>
                <a:r>
                  <a:rPr lang="en-US" sz="1600"/>
                  <a:t> </a:t>
                </a:r>
                <a:r>
                  <a:rPr lang="en-US" sz="2400"/>
                  <a:t>Tom brown package weight</a:t>
                </a:r>
              </a:p>
            </c:rich>
          </c:tx>
          <c:layout>
            <c:manualLayout>
              <c:xMode val="edge"/>
              <c:yMode val="edge"/>
              <c:x val="5.6921996098527545E-3"/>
              <c:y val="9.34815500371735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00617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673744</xdr:colOff>
      <xdr:row>30</xdr:row>
      <xdr:rowOff>50800</xdr:rowOff>
    </xdr:from>
    <xdr:to>
      <xdr:col>49</xdr:col>
      <xdr:colOff>254000</xdr:colOff>
      <xdr:row>59</xdr:row>
      <xdr:rowOff>236780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114843-47ED-9F58-A2B0-A3B1C5571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126999</xdr:colOff>
      <xdr:row>0</xdr:row>
      <xdr:rowOff>282221</xdr:rowOff>
    </xdr:from>
    <xdr:to>
      <xdr:col>39</xdr:col>
      <xdr:colOff>564444</xdr:colOff>
      <xdr:row>28</xdr:row>
      <xdr:rowOff>56443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3648B1-A80E-B1FB-253F-F64268F5C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r/Downloads/SPC_Control_Chart_Constants_Calculator%20(6).xlsx" TargetMode="External"/><Relationship Id="rId1" Type="http://schemas.openxmlformats.org/officeDocument/2006/relationships/externalLinkPath" Target="SPC_Control_Chart_Constants_Calculator%20(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C Calculator"/>
      <sheetName val="Package Weight"/>
      <sheetName val="Control Charts"/>
      <sheetName val="How to Draw Charts"/>
    </sheetNames>
    <sheetDataSet>
      <sheetData sheetId="0">
        <row r="16">
          <cell r="B16">
            <v>505.08674949999994</v>
          </cell>
        </row>
        <row r="17">
          <cell r="B17">
            <v>464.12387499999994</v>
          </cell>
        </row>
        <row r="18">
          <cell r="B18">
            <v>423.16100049999994</v>
          </cell>
        </row>
        <row r="21">
          <cell r="B21">
            <v>128.22672100000003</v>
          </cell>
        </row>
        <row r="22">
          <cell r="B22">
            <v>56.190500000000007</v>
          </cell>
        </row>
        <row r="23">
          <cell r="B23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E7F7-ED84-3242-B8EB-31F2507B94D1}">
  <dimension ref="A1:N26"/>
  <sheetViews>
    <sheetView tabSelected="1" topLeftCell="E31" zoomScale="75" zoomScaleNormal="75" workbookViewId="0">
      <selection activeCell="AP25" sqref="AP25"/>
    </sheetView>
  </sheetViews>
  <sheetFormatPr baseColWidth="10" defaultRowHeight="23" x14ac:dyDescent="0.25"/>
  <cols>
    <col min="1" max="1" width="20.1640625" style="3" bestFit="1" customWidth="1"/>
    <col min="2" max="13" width="11.33203125" style="3" bestFit="1" customWidth="1"/>
    <col min="14" max="16384" width="10.83203125" style="3"/>
  </cols>
  <sheetData>
    <row r="1" spans="1:14" ht="48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0</v>
      </c>
      <c r="G1" s="2" t="s">
        <v>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</row>
    <row r="2" spans="1:14" x14ac:dyDescent="0.25">
      <c r="A2" s="4">
        <v>46131</v>
      </c>
      <c r="B2" s="5">
        <v>482.23</v>
      </c>
      <c r="C2" s="5">
        <v>482.99</v>
      </c>
      <c r="D2" s="5">
        <v>507.11</v>
      </c>
      <c r="E2" s="5">
        <v>494.84</v>
      </c>
      <c r="F2" s="5">
        <f t="shared" ref="F2:F26" si="0">MAX(B2:E2)-MIN(B2:E2)</f>
        <v>24.879999999999995</v>
      </c>
      <c r="G2" s="5">
        <f t="shared" ref="G2:G26" si="1">AVERAGE(B2:E2)</f>
        <v>491.79249999999996</v>
      </c>
      <c r="H2" s="5">
        <f>'[1]SPC Calculator'!$B$16</f>
        <v>505.08674949999994</v>
      </c>
      <c r="I2" s="5">
        <f>'[1]SPC Calculator'!$B$17</f>
        <v>464.12387499999994</v>
      </c>
      <c r="J2" s="5">
        <f>'[1]SPC Calculator'!$B$18</f>
        <v>423.16100049999994</v>
      </c>
      <c r="K2" s="5">
        <f>'[1]SPC Calculator'!$B$21</f>
        <v>128.22672100000003</v>
      </c>
      <c r="L2" s="5">
        <f>'[1]SPC Calculator'!$B$22</f>
        <v>56.190500000000007</v>
      </c>
      <c r="M2" s="5">
        <f>'[1]SPC Calculator'!$B$23</f>
        <v>0</v>
      </c>
      <c r="N2" s="6" t="str">
        <f>TEXT(A2,"dd-mmm")</f>
        <v>19-Apr</v>
      </c>
    </row>
    <row r="3" spans="1:14" x14ac:dyDescent="0.25">
      <c r="A3" s="7">
        <v>46150</v>
      </c>
      <c r="B3" s="8">
        <v>453.93</v>
      </c>
      <c r="C3" s="8">
        <v>457.04</v>
      </c>
      <c r="D3" s="8">
        <v>433.88</v>
      </c>
      <c r="E3" s="8">
        <v>402.24</v>
      </c>
      <c r="F3" s="8">
        <f t="shared" si="0"/>
        <v>54.800000000000011</v>
      </c>
      <c r="G3" s="8">
        <f t="shared" si="1"/>
        <v>436.77249999999998</v>
      </c>
      <c r="H3" s="8">
        <f>'[1]SPC Calculator'!$B$16</f>
        <v>505.08674949999994</v>
      </c>
      <c r="I3" s="8">
        <f>'[1]SPC Calculator'!$B$17</f>
        <v>464.12387499999994</v>
      </c>
      <c r="J3" s="8">
        <f>'[1]SPC Calculator'!$B$18</f>
        <v>423.16100049999994</v>
      </c>
      <c r="K3" s="8">
        <f>'[1]SPC Calculator'!$B$21</f>
        <v>128.22672100000003</v>
      </c>
      <c r="L3" s="8">
        <f>'[1]SPC Calculator'!$B$22</f>
        <v>56.190500000000007</v>
      </c>
      <c r="M3" s="8">
        <f>'[1]SPC Calculator'!$B$23</f>
        <v>0</v>
      </c>
      <c r="N3" s="6" t="str">
        <f t="shared" ref="N3:N26" si="2">TEXT(A3,"dd-mmm")</f>
        <v>08-May</v>
      </c>
    </row>
    <row r="4" spans="1:14" x14ac:dyDescent="0.25">
      <c r="A4" s="9">
        <v>46160</v>
      </c>
      <c r="B4" s="10">
        <v>467.35</v>
      </c>
      <c r="C4" s="10">
        <v>428.5</v>
      </c>
      <c r="D4" s="10">
        <v>452.8</v>
      </c>
      <c r="E4" s="10">
        <v>440.69</v>
      </c>
      <c r="F4" s="10">
        <f t="shared" si="0"/>
        <v>38.850000000000023</v>
      </c>
      <c r="G4" s="10">
        <f t="shared" si="1"/>
        <v>447.33500000000004</v>
      </c>
      <c r="H4" s="10">
        <f>'[1]SPC Calculator'!$B$16</f>
        <v>505.08674949999994</v>
      </c>
      <c r="I4" s="10">
        <f>'[1]SPC Calculator'!$B$17</f>
        <v>464.12387499999994</v>
      </c>
      <c r="J4" s="10">
        <f>'[1]SPC Calculator'!$B$18</f>
        <v>423.16100049999994</v>
      </c>
      <c r="K4" s="10">
        <f>'[1]SPC Calculator'!$B$21</f>
        <v>128.22672100000003</v>
      </c>
      <c r="L4" s="10">
        <f>'[1]SPC Calculator'!$B$22</f>
        <v>56.190500000000007</v>
      </c>
      <c r="M4" s="10">
        <f>'[1]SPC Calculator'!$B$23</f>
        <v>0</v>
      </c>
      <c r="N4" s="6" t="str">
        <f t="shared" si="2"/>
        <v>18-May</v>
      </c>
    </row>
    <row r="5" spans="1:14" x14ac:dyDescent="0.25">
      <c r="A5" s="7">
        <v>46170</v>
      </c>
      <c r="B5" s="8">
        <v>422.15</v>
      </c>
      <c r="C5" s="8">
        <v>447.93</v>
      </c>
      <c r="D5" s="8">
        <v>447.96</v>
      </c>
      <c r="E5" s="8">
        <v>432.72</v>
      </c>
      <c r="F5" s="8">
        <f t="shared" si="0"/>
        <v>25.810000000000002</v>
      </c>
      <c r="G5" s="8">
        <f t="shared" si="1"/>
        <v>437.69</v>
      </c>
      <c r="H5" s="8">
        <f>'[1]SPC Calculator'!$B$16</f>
        <v>505.08674949999994</v>
      </c>
      <c r="I5" s="8">
        <f>'[1]SPC Calculator'!$B$17</f>
        <v>464.12387499999994</v>
      </c>
      <c r="J5" s="8">
        <f>'[1]SPC Calculator'!$B$18</f>
        <v>423.16100049999994</v>
      </c>
      <c r="K5" s="8">
        <f>'[1]SPC Calculator'!$B$21</f>
        <v>128.22672100000003</v>
      </c>
      <c r="L5" s="8">
        <f>'[1]SPC Calculator'!$B$22</f>
        <v>56.190500000000007</v>
      </c>
      <c r="M5" s="8">
        <f>'[1]SPC Calculator'!$B$23</f>
        <v>0</v>
      </c>
      <c r="N5" s="6" t="str">
        <f t="shared" si="2"/>
        <v>28-May</v>
      </c>
    </row>
    <row r="6" spans="1:14" x14ac:dyDescent="0.25">
      <c r="A6" s="9">
        <v>46184</v>
      </c>
      <c r="B6" s="10">
        <v>420.88</v>
      </c>
      <c r="C6" s="10">
        <v>432.77</v>
      </c>
      <c r="D6" s="10">
        <v>423.88</v>
      </c>
      <c r="E6" s="10">
        <v>405.34</v>
      </c>
      <c r="F6" s="10">
        <f t="shared" si="0"/>
        <v>27.430000000000007</v>
      </c>
      <c r="G6" s="10">
        <f t="shared" si="1"/>
        <v>420.71749999999997</v>
      </c>
      <c r="H6" s="10">
        <f>'[1]SPC Calculator'!$B$16</f>
        <v>505.08674949999994</v>
      </c>
      <c r="I6" s="10">
        <f>'[1]SPC Calculator'!$B$17</f>
        <v>464.12387499999994</v>
      </c>
      <c r="J6" s="10">
        <f>'[1]SPC Calculator'!$B$18</f>
        <v>423.16100049999994</v>
      </c>
      <c r="K6" s="10">
        <f>'[1]SPC Calculator'!$B$21</f>
        <v>128.22672100000003</v>
      </c>
      <c r="L6" s="10">
        <f>'[1]SPC Calculator'!$B$22</f>
        <v>56.190500000000007</v>
      </c>
      <c r="M6" s="10">
        <f>'[1]SPC Calculator'!$B$23</f>
        <v>0</v>
      </c>
      <c r="N6" s="6" t="str">
        <f t="shared" si="2"/>
        <v>11-Jun</v>
      </c>
    </row>
    <row r="7" spans="1:14" x14ac:dyDescent="0.25">
      <c r="A7" s="7">
        <v>46187</v>
      </c>
      <c r="B7" s="8">
        <v>496.8</v>
      </c>
      <c r="C7" s="8">
        <v>493.93</v>
      </c>
      <c r="D7" s="8">
        <v>524.36</v>
      </c>
      <c r="E7" s="8">
        <v>513.59</v>
      </c>
      <c r="F7" s="8">
        <f t="shared" si="0"/>
        <v>30.430000000000007</v>
      </c>
      <c r="G7" s="8">
        <f t="shared" si="1"/>
        <v>507.17000000000007</v>
      </c>
      <c r="H7" s="8">
        <f>'[1]SPC Calculator'!$B$16</f>
        <v>505.08674949999994</v>
      </c>
      <c r="I7" s="8">
        <f>'[1]SPC Calculator'!$B$17</f>
        <v>464.12387499999994</v>
      </c>
      <c r="J7" s="8">
        <f>'[1]SPC Calculator'!$B$18</f>
        <v>423.16100049999994</v>
      </c>
      <c r="K7" s="8">
        <f>'[1]SPC Calculator'!$B$21</f>
        <v>128.22672100000003</v>
      </c>
      <c r="L7" s="8">
        <f>'[1]SPC Calculator'!$B$22</f>
        <v>56.190500000000007</v>
      </c>
      <c r="M7" s="8">
        <f>'[1]SPC Calculator'!$B$23</f>
        <v>0</v>
      </c>
      <c r="N7" s="6" t="str">
        <f t="shared" si="2"/>
        <v>14-Jun</v>
      </c>
    </row>
    <row r="8" spans="1:14" x14ac:dyDescent="0.25">
      <c r="A8" s="9">
        <v>46190</v>
      </c>
      <c r="B8" s="10">
        <v>405.83</v>
      </c>
      <c r="C8" s="10">
        <v>498.71</v>
      </c>
      <c r="D8" s="10">
        <v>488.02</v>
      </c>
      <c r="E8" s="10">
        <v>458.65</v>
      </c>
      <c r="F8" s="10">
        <f t="shared" si="0"/>
        <v>92.88</v>
      </c>
      <c r="G8" s="10">
        <f t="shared" si="1"/>
        <v>462.80250000000001</v>
      </c>
      <c r="H8" s="10">
        <f>'[1]SPC Calculator'!$B$16</f>
        <v>505.08674949999994</v>
      </c>
      <c r="I8" s="10">
        <f>'[1]SPC Calculator'!$B$17</f>
        <v>464.12387499999994</v>
      </c>
      <c r="J8" s="10">
        <f>'[1]SPC Calculator'!$B$18</f>
        <v>423.16100049999994</v>
      </c>
      <c r="K8" s="10">
        <f>'[1]SPC Calculator'!$B$21</f>
        <v>128.22672100000003</v>
      </c>
      <c r="L8" s="10">
        <f>'[1]SPC Calculator'!$B$22</f>
        <v>56.190500000000007</v>
      </c>
      <c r="M8" s="10">
        <f>'[1]SPC Calculator'!$B$23</f>
        <v>0</v>
      </c>
      <c r="N8" s="6" t="str">
        <f t="shared" si="2"/>
        <v>17-Jun</v>
      </c>
    </row>
    <row r="9" spans="1:14" x14ac:dyDescent="0.25">
      <c r="A9" s="7">
        <v>46192</v>
      </c>
      <c r="B9" s="8">
        <v>530.38</v>
      </c>
      <c r="C9" s="8">
        <v>423.44</v>
      </c>
      <c r="D9" s="8">
        <v>421.33</v>
      </c>
      <c r="E9" s="8">
        <v>449.87</v>
      </c>
      <c r="F9" s="8">
        <f t="shared" si="0"/>
        <v>109.05000000000001</v>
      </c>
      <c r="G9" s="8">
        <f t="shared" si="1"/>
        <v>456.255</v>
      </c>
      <c r="H9" s="8">
        <f>'[1]SPC Calculator'!$B$16</f>
        <v>505.08674949999994</v>
      </c>
      <c r="I9" s="8">
        <f>'[1]SPC Calculator'!$B$17</f>
        <v>464.12387499999994</v>
      </c>
      <c r="J9" s="8">
        <f>'[1]SPC Calculator'!$B$18</f>
        <v>423.16100049999994</v>
      </c>
      <c r="K9" s="8">
        <f>'[1]SPC Calculator'!$B$21</f>
        <v>128.22672100000003</v>
      </c>
      <c r="L9" s="8">
        <f>'[1]SPC Calculator'!$B$22</f>
        <v>56.190500000000007</v>
      </c>
      <c r="M9" s="8">
        <f>'[1]SPC Calculator'!$B$23</f>
        <v>0</v>
      </c>
      <c r="N9" s="6" t="str">
        <f t="shared" si="2"/>
        <v>19-Jun</v>
      </c>
    </row>
    <row r="10" spans="1:14" x14ac:dyDescent="0.25">
      <c r="A10" s="9">
        <v>46196</v>
      </c>
      <c r="B10" s="10">
        <v>468.07</v>
      </c>
      <c r="C10" s="10">
        <v>429.38</v>
      </c>
      <c r="D10" s="10">
        <v>437.55</v>
      </c>
      <c r="E10" s="10">
        <v>434.74</v>
      </c>
      <c r="F10" s="10">
        <f t="shared" si="0"/>
        <v>38.69</v>
      </c>
      <c r="G10" s="10">
        <f t="shared" si="1"/>
        <v>442.435</v>
      </c>
      <c r="H10" s="10">
        <f>'[1]SPC Calculator'!$B$16</f>
        <v>505.08674949999994</v>
      </c>
      <c r="I10" s="10">
        <f>'[1]SPC Calculator'!$B$17</f>
        <v>464.12387499999994</v>
      </c>
      <c r="J10" s="10">
        <f>'[1]SPC Calculator'!$B$18</f>
        <v>423.16100049999994</v>
      </c>
      <c r="K10" s="10">
        <f>'[1]SPC Calculator'!$B$21</f>
        <v>128.22672100000003</v>
      </c>
      <c r="L10" s="10">
        <f>'[1]SPC Calculator'!$B$22</f>
        <v>56.190500000000007</v>
      </c>
      <c r="M10" s="10">
        <f>'[1]SPC Calculator'!$B$23</f>
        <v>0</v>
      </c>
      <c r="N10" s="6" t="str">
        <f t="shared" si="2"/>
        <v>23-Jun</v>
      </c>
    </row>
    <row r="11" spans="1:14" x14ac:dyDescent="0.25">
      <c r="A11" s="7">
        <v>46205</v>
      </c>
      <c r="B11" s="8">
        <v>407.89</v>
      </c>
      <c r="C11" s="8">
        <v>438.49</v>
      </c>
      <c r="D11" s="8">
        <v>400.79</v>
      </c>
      <c r="E11" s="8">
        <v>380.97</v>
      </c>
      <c r="F11" s="8">
        <f t="shared" si="0"/>
        <v>57.519999999999982</v>
      </c>
      <c r="G11" s="8">
        <f t="shared" si="1"/>
        <v>407.03500000000003</v>
      </c>
      <c r="H11" s="8">
        <f>'[1]SPC Calculator'!$B$16</f>
        <v>505.08674949999994</v>
      </c>
      <c r="I11" s="8">
        <f>'[1]SPC Calculator'!$B$17</f>
        <v>464.12387499999994</v>
      </c>
      <c r="J11" s="8">
        <f>'[1]SPC Calculator'!$B$18</f>
        <v>423.16100049999994</v>
      </c>
      <c r="K11" s="8">
        <f>'[1]SPC Calculator'!$B$21</f>
        <v>128.22672100000003</v>
      </c>
      <c r="L11" s="8">
        <f>'[1]SPC Calculator'!$B$22</f>
        <v>56.190500000000007</v>
      </c>
      <c r="M11" s="8">
        <f>'[1]SPC Calculator'!$B$23</f>
        <v>0</v>
      </c>
      <c r="N11" s="6" t="str">
        <f t="shared" si="2"/>
        <v>02-Jul</v>
      </c>
    </row>
    <row r="12" spans="1:14" x14ac:dyDescent="0.25">
      <c r="A12" s="9">
        <v>46206</v>
      </c>
      <c r="B12" s="10">
        <v>372.72</v>
      </c>
      <c r="C12" s="10">
        <v>418.52</v>
      </c>
      <c r="D12" s="10">
        <v>388.49</v>
      </c>
      <c r="E12" s="10">
        <v>369.38</v>
      </c>
      <c r="F12" s="10">
        <f t="shared" si="0"/>
        <v>49.139999999999986</v>
      </c>
      <c r="G12" s="10">
        <f t="shared" si="1"/>
        <v>387.27750000000003</v>
      </c>
      <c r="H12" s="10">
        <f>'[1]SPC Calculator'!$B$16</f>
        <v>505.08674949999994</v>
      </c>
      <c r="I12" s="10">
        <f>'[1]SPC Calculator'!$B$17</f>
        <v>464.12387499999994</v>
      </c>
      <c r="J12" s="10">
        <f>'[1]SPC Calculator'!$B$18</f>
        <v>423.16100049999994</v>
      </c>
      <c r="K12" s="10">
        <f>'[1]SPC Calculator'!$B$21</f>
        <v>128.22672100000003</v>
      </c>
      <c r="L12" s="10">
        <f>'[1]SPC Calculator'!$B$22</f>
        <v>56.190500000000007</v>
      </c>
      <c r="M12" s="10">
        <f>'[1]SPC Calculator'!$B$23</f>
        <v>0</v>
      </c>
      <c r="N12" s="6" t="str">
        <f t="shared" si="2"/>
        <v>03-Jul</v>
      </c>
    </row>
    <row r="13" spans="1:14" x14ac:dyDescent="0.25">
      <c r="A13" s="7">
        <v>46210</v>
      </c>
      <c r="B13" s="8">
        <v>531</v>
      </c>
      <c r="C13" s="8">
        <v>499.5</v>
      </c>
      <c r="D13" s="8">
        <v>559.29999999999995</v>
      </c>
      <c r="E13" s="8">
        <v>511.3</v>
      </c>
      <c r="F13" s="8">
        <f t="shared" si="0"/>
        <v>59.799999999999955</v>
      </c>
      <c r="G13" s="8">
        <f t="shared" si="1"/>
        <v>525.27499999999998</v>
      </c>
      <c r="H13" s="8">
        <f>'[1]SPC Calculator'!$B$16</f>
        <v>505.08674949999994</v>
      </c>
      <c r="I13" s="8">
        <f>'[1]SPC Calculator'!$B$17</f>
        <v>464.12387499999994</v>
      </c>
      <c r="J13" s="8">
        <f>'[1]SPC Calculator'!$B$18</f>
        <v>423.16100049999994</v>
      </c>
      <c r="K13" s="8">
        <f>'[1]SPC Calculator'!$B$21</f>
        <v>128.22672100000003</v>
      </c>
      <c r="L13" s="8">
        <f>'[1]SPC Calculator'!$B$22</f>
        <v>56.190500000000007</v>
      </c>
      <c r="M13" s="8">
        <f>'[1]SPC Calculator'!$B$23</f>
        <v>0</v>
      </c>
      <c r="N13" s="6" t="str">
        <f t="shared" si="2"/>
        <v>07-Jul</v>
      </c>
    </row>
    <row r="14" spans="1:14" x14ac:dyDescent="0.25">
      <c r="A14" s="9">
        <v>46213</v>
      </c>
      <c r="B14" s="10">
        <v>635.1</v>
      </c>
      <c r="C14" s="10">
        <v>644.1</v>
      </c>
      <c r="D14" s="10">
        <v>578.20000000000005</v>
      </c>
      <c r="E14" s="10">
        <v>495.2</v>
      </c>
      <c r="F14" s="10">
        <f t="shared" si="0"/>
        <v>148.90000000000003</v>
      </c>
      <c r="G14" s="10">
        <f t="shared" si="1"/>
        <v>588.15</v>
      </c>
      <c r="H14" s="10">
        <f>'[1]SPC Calculator'!$B$16</f>
        <v>505.08674949999994</v>
      </c>
      <c r="I14" s="10">
        <f>'[1]SPC Calculator'!$B$17</f>
        <v>464.12387499999994</v>
      </c>
      <c r="J14" s="10">
        <f>'[1]SPC Calculator'!$B$18</f>
        <v>423.16100049999994</v>
      </c>
      <c r="K14" s="10">
        <f>'[1]SPC Calculator'!$B$21</f>
        <v>128.22672100000003</v>
      </c>
      <c r="L14" s="10">
        <f>'[1]SPC Calculator'!$B$22</f>
        <v>56.190500000000007</v>
      </c>
      <c r="M14" s="10">
        <f>'[1]SPC Calculator'!$B$23</f>
        <v>0</v>
      </c>
      <c r="N14" s="6" t="str">
        <f t="shared" si="2"/>
        <v>10-Jul</v>
      </c>
    </row>
    <row r="15" spans="1:14" x14ac:dyDescent="0.25">
      <c r="A15" s="7">
        <v>46220</v>
      </c>
      <c r="B15" s="8">
        <v>619.76</v>
      </c>
      <c r="C15" s="8">
        <v>526.04999999999995</v>
      </c>
      <c r="D15" s="8">
        <v>579.35</v>
      </c>
      <c r="E15" s="8">
        <v>659.7</v>
      </c>
      <c r="F15" s="8">
        <f t="shared" si="0"/>
        <v>133.65000000000009</v>
      </c>
      <c r="G15" s="8">
        <f t="shared" si="1"/>
        <v>596.21499999999992</v>
      </c>
      <c r="H15" s="8">
        <f>'[1]SPC Calculator'!$B$16</f>
        <v>505.08674949999994</v>
      </c>
      <c r="I15" s="8">
        <f>'[1]SPC Calculator'!$B$17</f>
        <v>464.12387499999994</v>
      </c>
      <c r="J15" s="8">
        <f>'[1]SPC Calculator'!$B$18</f>
        <v>423.16100049999994</v>
      </c>
      <c r="K15" s="8">
        <f>'[1]SPC Calculator'!$B$21</f>
        <v>128.22672100000003</v>
      </c>
      <c r="L15" s="8">
        <f>'[1]SPC Calculator'!$B$22</f>
        <v>56.190500000000007</v>
      </c>
      <c r="M15" s="8">
        <f>'[1]SPC Calculator'!$B$23</f>
        <v>0</v>
      </c>
      <c r="N15" s="6" t="str">
        <f t="shared" si="2"/>
        <v>17-Jul</v>
      </c>
    </row>
    <row r="16" spans="1:14" x14ac:dyDescent="0.25">
      <c r="A16" s="9">
        <v>46222</v>
      </c>
      <c r="B16" s="10">
        <v>446.01</v>
      </c>
      <c r="C16" s="10">
        <v>427.36</v>
      </c>
      <c r="D16" s="10">
        <v>444.48</v>
      </c>
      <c r="E16" s="10">
        <v>455.7</v>
      </c>
      <c r="F16" s="10">
        <f t="shared" si="0"/>
        <v>28.339999999999975</v>
      </c>
      <c r="G16" s="10">
        <f t="shared" si="1"/>
        <v>443.38749999999999</v>
      </c>
      <c r="H16" s="10">
        <f>'[1]SPC Calculator'!$B$16</f>
        <v>505.08674949999994</v>
      </c>
      <c r="I16" s="10">
        <f>'[1]SPC Calculator'!$B$17</f>
        <v>464.12387499999994</v>
      </c>
      <c r="J16" s="10">
        <f>'[1]SPC Calculator'!$B$18</f>
        <v>423.16100049999994</v>
      </c>
      <c r="K16" s="10">
        <f>'[1]SPC Calculator'!$B$21</f>
        <v>128.22672100000003</v>
      </c>
      <c r="L16" s="10">
        <f>'[1]SPC Calculator'!$B$22</f>
        <v>56.190500000000007</v>
      </c>
      <c r="M16" s="10">
        <f>'[1]SPC Calculator'!$B$23</f>
        <v>0</v>
      </c>
      <c r="N16" s="6" t="str">
        <f t="shared" si="2"/>
        <v>19-Jul</v>
      </c>
    </row>
    <row r="17" spans="1:14" x14ac:dyDescent="0.25">
      <c r="A17" s="7">
        <v>46246</v>
      </c>
      <c r="B17" s="8">
        <v>448.3</v>
      </c>
      <c r="C17" s="8">
        <v>459.56</v>
      </c>
      <c r="D17" s="8">
        <v>446.51</v>
      </c>
      <c r="E17" s="8">
        <v>447.91</v>
      </c>
      <c r="F17" s="8">
        <f t="shared" si="0"/>
        <v>13.050000000000011</v>
      </c>
      <c r="G17" s="8">
        <f t="shared" si="1"/>
        <v>450.57</v>
      </c>
      <c r="H17" s="8">
        <f>'[1]SPC Calculator'!$B$16</f>
        <v>505.08674949999994</v>
      </c>
      <c r="I17" s="8">
        <f>'[1]SPC Calculator'!$B$17</f>
        <v>464.12387499999994</v>
      </c>
      <c r="J17" s="8">
        <f>'[1]SPC Calculator'!$B$18</f>
        <v>423.16100049999994</v>
      </c>
      <c r="K17" s="8">
        <f>'[1]SPC Calculator'!$B$21</f>
        <v>128.22672100000003</v>
      </c>
      <c r="L17" s="8">
        <f>'[1]SPC Calculator'!$B$22</f>
        <v>56.190500000000007</v>
      </c>
      <c r="M17" s="8">
        <f>'[1]SPC Calculator'!$B$23</f>
        <v>0</v>
      </c>
      <c r="N17" s="6" t="str">
        <f t="shared" si="2"/>
        <v>12-Aug</v>
      </c>
    </row>
    <row r="18" spans="1:14" x14ac:dyDescent="0.25">
      <c r="A18" s="9">
        <v>46249</v>
      </c>
      <c r="B18" s="10">
        <v>408.93</v>
      </c>
      <c r="C18" s="10">
        <v>420.13</v>
      </c>
      <c r="D18" s="10">
        <v>434.94</v>
      </c>
      <c r="E18" s="10">
        <v>408.68</v>
      </c>
      <c r="F18" s="10">
        <f t="shared" si="0"/>
        <v>26.259999999999991</v>
      </c>
      <c r="G18" s="10">
        <f t="shared" si="1"/>
        <v>418.17</v>
      </c>
      <c r="H18" s="10">
        <f>'[1]SPC Calculator'!$B$16</f>
        <v>505.08674949999994</v>
      </c>
      <c r="I18" s="10">
        <f>'[1]SPC Calculator'!$B$17</f>
        <v>464.12387499999994</v>
      </c>
      <c r="J18" s="10">
        <f>'[1]SPC Calculator'!$B$18</f>
        <v>423.16100049999994</v>
      </c>
      <c r="K18" s="10">
        <f>'[1]SPC Calculator'!$B$21</f>
        <v>128.22672100000003</v>
      </c>
      <c r="L18" s="10">
        <f>'[1]SPC Calculator'!$B$22</f>
        <v>56.190500000000007</v>
      </c>
      <c r="M18" s="10">
        <f>'[1]SPC Calculator'!$B$23</f>
        <v>0</v>
      </c>
      <c r="N18" s="6" t="str">
        <f t="shared" si="2"/>
        <v>15-Aug</v>
      </c>
    </row>
    <row r="19" spans="1:14" x14ac:dyDescent="0.25">
      <c r="A19" s="7">
        <v>46254</v>
      </c>
      <c r="B19" s="8">
        <v>432.18</v>
      </c>
      <c r="C19" s="8">
        <v>447.35</v>
      </c>
      <c r="D19" s="8">
        <v>439.05</v>
      </c>
      <c r="E19" s="8">
        <v>432.24</v>
      </c>
      <c r="F19" s="8">
        <f t="shared" si="0"/>
        <v>15.170000000000016</v>
      </c>
      <c r="G19" s="8">
        <f t="shared" si="1"/>
        <v>437.70499999999998</v>
      </c>
      <c r="H19" s="8">
        <f>'[1]SPC Calculator'!$B$16</f>
        <v>505.08674949999994</v>
      </c>
      <c r="I19" s="8">
        <f>'[1]SPC Calculator'!$B$17</f>
        <v>464.12387499999994</v>
      </c>
      <c r="J19" s="8">
        <f>'[1]SPC Calculator'!$B$18</f>
        <v>423.16100049999994</v>
      </c>
      <c r="K19" s="8">
        <f>'[1]SPC Calculator'!$B$21</f>
        <v>128.22672100000003</v>
      </c>
      <c r="L19" s="8">
        <f>'[1]SPC Calculator'!$B$22</f>
        <v>56.190500000000007</v>
      </c>
      <c r="M19" s="8">
        <f>'[1]SPC Calculator'!$B$23</f>
        <v>0</v>
      </c>
      <c r="N19" s="6" t="str">
        <f t="shared" si="2"/>
        <v>20-Aug</v>
      </c>
    </row>
    <row r="20" spans="1:14" x14ac:dyDescent="0.25">
      <c r="A20" s="9">
        <v>46256</v>
      </c>
      <c r="B20" s="10">
        <v>480.38</v>
      </c>
      <c r="C20" s="10">
        <v>487.38</v>
      </c>
      <c r="D20" s="10">
        <v>475.36</v>
      </c>
      <c r="E20" s="10">
        <v>401.73</v>
      </c>
      <c r="F20" s="10">
        <f t="shared" si="0"/>
        <v>85.649999999999977</v>
      </c>
      <c r="G20" s="10">
        <f t="shared" si="1"/>
        <v>461.21249999999998</v>
      </c>
      <c r="H20" s="10">
        <f>'[1]SPC Calculator'!$B$16</f>
        <v>505.08674949999994</v>
      </c>
      <c r="I20" s="10">
        <f>'[1]SPC Calculator'!$B$17</f>
        <v>464.12387499999994</v>
      </c>
      <c r="J20" s="10">
        <f>'[1]SPC Calculator'!$B$18</f>
        <v>423.16100049999994</v>
      </c>
      <c r="K20" s="10">
        <f>'[1]SPC Calculator'!$B$21</f>
        <v>128.22672100000003</v>
      </c>
      <c r="L20" s="10">
        <f>'[1]SPC Calculator'!$B$22</f>
        <v>56.190500000000007</v>
      </c>
      <c r="M20" s="10">
        <f>'[1]SPC Calculator'!$B$23</f>
        <v>0</v>
      </c>
      <c r="N20" s="6" t="str">
        <f t="shared" si="2"/>
        <v>22-Aug</v>
      </c>
    </row>
    <row r="21" spans="1:14" x14ac:dyDescent="0.25">
      <c r="A21" s="11">
        <v>46263</v>
      </c>
      <c r="B21" s="12">
        <v>494.32</v>
      </c>
      <c r="C21" s="12">
        <v>466.42</v>
      </c>
      <c r="D21" s="12">
        <v>430.81</v>
      </c>
      <c r="E21" s="12">
        <v>466.49</v>
      </c>
      <c r="F21" s="12">
        <f t="shared" si="0"/>
        <v>63.509999999999991</v>
      </c>
      <c r="G21" s="12">
        <f t="shared" si="1"/>
        <v>464.51</v>
      </c>
      <c r="H21" s="12">
        <f>'[1]SPC Calculator'!$B$16</f>
        <v>505.08674949999994</v>
      </c>
      <c r="I21" s="12">
        <f>'[1]SPC Calculator'!$B$17</f>
        <v>464.12387499999994</v>
      </c>
      <c r="J21" s="12">
        <f>'[1]SPC Calculator'!$B$18</f>
        <v>423.16100049999994</v>
      </c>
      <c r="K21" s="12">
        <f>'[1]SPC Calculator'!$B$21</f>
        <v>128.22672100000003</v>
      </c>
      <c r="L21" s="12">
        <f>'[1]SPC Calculator'!$B$22</f>
        <v>56.190500000000007</v>
      </c>
      <c r="M21" s="12">
        <f>'[1]SPC Calculator'!$B$23</f>
        <v>0</v>
      </c>
      <c r="N21" s="6" t="str">
        <f t="shared" si="2"/>
        <v>29-Aug</v>
      </c>
    </row>
    <row r="22" spans="1:14" x14ac:dyDescent="0.25">
      <c r="A22" s="1">
        <v>46265</v>
      </c>
      <c r="B22" s="13">
        <v>468.16</v>
      </c>
      <c r="C22" s="13">
        <v>469.16</v>
      </c>
      <c r="D22" s="13">
        <v>472.05</v>
      </c>
      <c r="E22" s="13">
        <v>473.55</v>
      </c>
      <c r="F22" s="12">
        <f t="shared" si="0"/>
        <v>5.3899999999999864</v>
      </c>
      <c r="G22" s="12">
        <f t="shared" si="1"/>
        <v>470.73</v>
      </c>
      <c r="H22" s="12">
        <f>'[1]SPC Calculator'!$B$16</f>
        <v>505.08674949999994</v>
      </c>
      <c r="I22" s="12">
        <f>'[1]SPC Calculator'!$B$17</f>
        <v>464.12387499999994</v>
      </c>
      <c r="J22" s="12">
        <f>'[1]SPC Calculator'!$B$18</f>
        <v>423.16100049999994</v>
      </c>
      <c r="K22" s="12">
        <f>'[1]SPC Calculator'!$B$21</f>
        <v>128.22672100000003</v>
      </c>
      <c r="L22" s="12">
        <f>'[1]SPC Calculator'!$B$22</f>
        <v>56.190500000000007</v>
      </c>
      <c r="M22" s="12">
        <f>'[1]SPC Calculator'!$B$23</f>
        <v>0</v>
      </c>
      <c r="N22" s="6" t="str">
        <f t="shared" si="2"/>
        <v>31-Aug</v>
      </c>
    </row>
    <row r="23" spans="1:14" x14ac:dyDescent="0.25">
      <c r="A23" s="1">
        <v>46268</v>
      </c>
      <c r="B23" s="13">
        <v>469.64</v>
      </c>
      <c r="C23" s="13">
        <v>466.46</v>
      </c>
      <c r="D23" s="13">
        <v>472.44</v>
      </c>
      <c r="E23" s="13">
        <v>463.44</v>
      </c>
      <c r="F23" s="12">
        <f t="shared" si="0"/>
        <v>9</v>
      </c>
      <c r="G23" s="12">
        <f t="shared" si="1"/>
        <v>467.995</v>
      </c>
      <c r="H23" s="12">
        <f>'[1]SPC Calculator'!$B$16</f>
        <v>505.08674949999994</v>
      </c>
      <c r="I23" s="12">
        <f>'[1]SPC Calculator'!$B$17</f>
        <v>464.12387499999994</v>
      </c>
      <c r="J23" s="12">
        <f>'[1]SPC Calculator'!$B$18</f>
        <v>423.16100049999994</v>
      </c>
      <c r="K23" s="12">
        <f>'[1]SPC Calculator'!$B$21</f>
        <v>128.22672100000003</v>
      </c>
      <c r="L23" s="12">
        <f>'[1]SPC Calculator'!$B$22</f>
        <v>56.190500000000007</v>
      </c>
      <c r="M23" s="12">
        <f>'[1]SPC Calculator'!$B$23</f>
        <v>0</v>
      </c>
      <c r="N23" s="6" t="str">
        <f t="shared" si="2"/>
        <v>03-Sep</v>
      </c>
    </row>
    <row r="24" spans="1:14" x14ac:dyDescent="0.25">
      <c r="A24" s="1">
        <v>46270</v>
      </c>
      <c r="B24" s="13">
        <v>454.97</v>
      </c>
      <c r="C24" s="13">
        <v>446.76</v>
      </c>
      <c r="D24" s="13">
        <v>472.19</v>
      </c>
      <c r="E24" s="13">
        <v>487.99</v>
      </c>
      <c r="F24" s="12">
        <f t="shared" si="0"/>
        <v>41.230000000000018</v>
      </c>
      <c r="G24" s="12">
        <f t="shared" si="1"/>
        <v>465.47750000000002</v>
      </c>
      <c r="H24" s="12">
        <f>'[1]SPC Calculator'!$B$16</f>
        <v>505.08674949999994</v>
      </c>
      <c r="I24" s="12">
        <f>'[1]SPC Calculator'!$B$17</f>
        <v>464.12387499999994</v>
      </c>
      <c r="J24" s="12">
        <f>'[1]SPC Calculator'!$B$18</f>
        <v>423.16100049999994</v>
      </c>
      <c r="K24" s="12">
        <f>'[1]SPC Calculator'!$B$21</f>
        <v>128.22672100000003</v>
      </c>
      <c r="L24" s="12">
        <f>'[1]SPC Calculator'!$B$22</f>
        <v>56.190500000000007</v>
      </c>
      <c r="M24" s="12">
        <f>'[1]SPC Calculator'!$B$23</f>
        <v>0</v>
      </c>
      <c r="N24" s="6" t="str">
        <f t="shared" si="2"/>
        <v>05-Sep</v>
      </c>
    </row>
    <row r="25" spans="1:14" x14ac:dyDescent="0.25">
      <c r="A25" s="1">
        <v>46273</v>
      </c>
      <c r="B25" s="13">
        <v>493.48</v>
      </c>
      <c r="C25" s="13">
        <v>463.27</v>
      </c>
      <c r="D25" s="13">
        <v>468.01</v>
      </c>
      <c r="E25" s="13">
        <v>488.07</v>
      </c>
      <c r="F25" s="12">
        <f t="shared" si="0"/>
        <v>30.210000000000036</v>
      </c>
      <c r="G25" s="12">
        <f t="shared" si="1"/>
        <v>478.20749999999998</v>
      </c>
      <c r="H25" s="12">
        <f>'[1]SPC Calculator'!$B$16</f>
        <v>505.08674949999994</v>
      </c>
      <c r="I25" s="12">
        <f>'[1]SPC Calculator'!$B$17</f>
        <v>464.12387499999994</v>
      </c>
      <c r="J25" s="12">
        <f>'[1]SPC Calculator'!$B$18</f>
        <v>423.16100049999994</v>
      </c>
      <c r="K25" s="12">
        <f>'[1]SPC Calculator'!$B$21</f>
        <v>128.22672100000003</v>
      </c>
      <c r="L25" s="12">
        <f>'[1]SPC Calculator'!$B$22</f>
        <v>56.190500000000007</v>
      </c>
      <c r="M25" s="12">
        <f>'[1]SPC Calculator'!$B$23</f>
        <v>0</v>
      </c>
      <c r="N25" s="6" t="str">
        <f t="shared" si="2"/>
        <v>08-Sep</v>
      </c>
    </row>
    <row r="26" spans="1:14" x14ac:dyDescent="0.25">
      <c r="A26" s="1">
        <v>46279</v>
      </c>
      <c r="B26" s="13">
        <v>481.13</v>
      </c>
      <c r="C26" s="13">
        <v>477.1</v>
      </c>
      <c r="D26" s="13">
        <v>481.08</v>
      </c>
      <c r="E26" s="13">
        <v>522.94000000000005</v>
      </c>
      <c r="F26" s="12">
        <f t="shared" si="0"/>
        <v>45.840000000000032</v>
      </c>
      <c r="G26" s="12">
        <f t="shared" si="1"/>
        <v>490.5625</v>
      </c>
      <c r="H26" s="12">
        <f>'[1]SPC Calculator'!$B$16</f>
        <v>505.08674949999994</v>
      </c>
      <c r="I26" s="12">
        <f>'[1]SPC Calculator'!$B$17</f>
        <v>464.12387499999994</v>
      </c>
      <c r="J26" s="12">
        <f>'[1]SPC Calculator'!$B$18</f>
        <v>423.16100049999994</v>
      </c>
      <c r="K26" s="12">
        <f>'[1]SPC Calculator'!$B$21</f>
        <v>128.22672100000003</v>
      </c>
      <c r="L26" s="12">
        <f>'[1]SPC Calculator'!$B$22</f>
        <v>56.190500000000007</v>
      </c>
      <c r="M26" s="12">
        <f>'[1]SPC Calculator'!$B$23</f>
        <v>0</v>
      </c>
      <c r="N26" s="6" t="str">
        <f t="shared" si="2"/>
        <v>14-Sep</v>
      </c>
    </row>
  </sheetData>
  <conditionalFormatting sqref="B22:E26">
    <cfRule type="expression" dxfId="1" priority="1">
      <formula>COLUMN()-2&gt;$B22</formula>
    </cfRule>
    <cfRule type="expression" dxfId="0" priority="2">
      <formula>AND($A22&lt;&gt;"",$B22&lt;&gt;"",COLUMN()-2&lt;=$B22,B22="")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8699-65D3-F742-B5B2-671107ECFE45}">
  <dimension ref="A1:J33"/>
  <sheetViews>
    <sheetView topLeftCell="A27" zoomScale="96" workbookViewId="0">
      <selection activeCell="D6" sqref="D6"/>
    </sheetView>
  </sheetViews>
  <sheetFormatPr baseColWidth="10" defaultRowHeight="19" x14ac:dyDescent="0.25"/>
  <cols>
    <col min="1" max="2" width="10.83203125" style="14"/>
    <col min="3" max="3" width="18.33203125" style="14" customWidth="1"/>
    <col min="4" max="4" width="24.33203125" style="14" customWidth="1"/>
    <col min="5" max="16384" width="10.83203125" style="14"/>
  </cols>
  <sheetData>
    <row r="1" spans="1:10" x14ac:dyDescent="0.25">
      <c r="A1" s="35" t="s">
        <v>2</v>
      </c>
      <c r="B1" s="35"/>
      <c r="C1" s="35"/>
      <c r="D1" s="35"/>
      <c r="E1" s="35"/>
    </row>
    <row r="2" spans="1:10" x14ac:dyDescent="0.25">
      <c r="A2" s="36" t="s">
        <v>3</v>
      </c>
      <c r="B2" s="36"/>
      <c r="C2" s="36"/>
      <c r="D2" s="36"/>
      <c r="E2" s="36"/>
    </row>
    <row r="3" spans="1:10" x14ac:dyDescent="0.25">
      <c r="A3" s="15"/>
      <c r="B3" s="15"/>
      <c r="C3" s="15"/>
      <c r="D3" s="15"/>
      <c r="E3" s="15"/>
    </row>
    <row r="4" spans="1:10" x14ac:dyDescent="0.25">
      <c r="A4" s="37" t="s">
        <v>5</v>
      </c>
      <c r="B4" s="37"/>
      <c r="C4" s="37"/>
      <c r="D4" s="15"/>
      <c r="E4" s="15"/>
      <c r="G4" s="40" t="s">
        <v>4</v>
      </c>
      <c r="H4" s="40"/>
      <c r="I4" s="40"/>
      <c r="J4" s="40"/>
    </row>
    <row r="5" spans="1:10" x14ac:dyDescent="0.25">
      <c r="A5" s="16" t="s">
        <v>10</v>
      </c>
      <c r="B5" s="17">
        <v>4</v>
      </c>
      <c r="C5" s="15"/>
      <c r="D5" s="15"/>
      <c r="E5" s="15"/>
      <c r="G5" s="18" t="s">
        <v>6</v>
      </c>
      <c r="H5" s="18" t="s">
        <v>7</v>
      </c>
      <c r="I5" s="18" t="s">
        <v>8</v>
      </c>
      <c r="J5" s="18" t="s">
        <v>9</v>
      </c>
    </row>
    <row r="6" spans="1:10" x14ac:dyDescent="0.25">
      <c r="A6" s="19" t="s">
        <v>11</v>
      </c>
      <c r="B6" s="20">
        <f>AVERAGE('Package Weight'!$G$2:$G$21)</f>
        <v>464.12387499999994</v>
      </c>
      <c r="C6" s="15"/>
      <c r="D6" s="15"/>
      <c r="E6" s="15"/>
      <c r="G6" s="21">
        <v>2</v>
      </c>
      <c r="H6" s="22">
        <v>1.88</v>
      </c>
      <c r="I6" s="22">
        <v>0</v>
      </c>
      <c r="J6" s="22">
        <v>3.2669999999999999</v>
      </c>
    </row>
    <row r="7" spans="1:10" x14ac:dyDescent="0.25">
      <c r="A7" s="23" t="s">
        <v>12</v>
      </c>
      <c r="B7" s="24">
        <f>AVERAGE('Package Weight'!$F$2:$F$21)</f>
        <v>56.190500000000007</v>
      </c>
      <c r="C7" s="15"/>
      <c r="D7" s="15"/>
      <c r="E7" s="15"/>
      <c r="G7" s="21">
        <v>3</v>
      </c>
      <c r="H7" s="22">
        <v>1.0229999999999999</v>
      </c>
      <c r="I7" s="22">
        <v>0</v>
      </c>
      <c r="J7" s="22">
        <v>2.5750000000000002</v>
      </c>
    </row>
    <row r="8" spans="1:10" x14ac:dyDescent="0.25">
      <c r="A8" s="15"/>
      <c r="B8" s="15"/>
      <c r="C8" s="15"/>
      <c r="D8" s="15"/>
      <c r="E8" s="15"/>
      <c r="G8" s="21">
        <v>4</v>
      </c>
      <c r="H8" s="22">
        <v>0.72899999999999998</v>
      </c>
      <c r="I8" s="22">
        <v>0</v>
      </c>
      <c r="J8" s="22">
        <v>2.282</v>
      </c>
    </row>
    <row r="9" spans="1:10" x14ac:dyDescent="0.25">
      <c r="A9" s="38" t="s">
        <v>13</v>
      </c>
      <c r="B9" s="38"/>
      <c r="C9" s="38"/>
      <c r="D9" s="15"/>
      <c r="E9" s="15"/>
      <c r="G9" s="21">
        <v>5</v>
      </c>
      <c r="H9" s="22">
        <v>0.57699999999999996</v>
      </c>
      <c r="I9" s="22">
        <v>0</v>
      </c>
      <c r="J9" s="22">
        <v>2.1150000000000002</v>
      </c>
    </row>
    <row r="10" spans="1:10" x14ac:dyDescent="0.25">
      <c r="A10" s="16" t="s">
        <v>7</v>
      </c>
      <c r="B10" s="25">
        <f>VLOOKUP($B$5,$G$6:$J$14,2,FALSE)</f>
        <v>0.72899999999999998</v>
      </c>
      <c r="C10" s="15"/>
      <c r="D10" s="15"/>
      <c r="E10" s="15"/>
      <c r="G10" s="21">
        <v>6</v>
      </c>
      <c r="H10" s="22">
        <v>0.48299999999999998</v>
      </c>
      <c r="I10" s="22">
        <v>0</v>
      </c>
      <c r="J10" s="22">
        <v>2.004</v>
      </c>
    </row>
    <row r="11" spans="1:10" x14ac:dyDescent="0.25">
      <c r="A11" s="19" t="s">
        <v>8</v>
      </c>
      <c r="B11" s="26">
        <f>VLOOKUP($B$5,$G$6:$J$14,3,FALSE)</f>
        <v>0</v>
      </c>
      <c r="C11" s="15"/>
      <c r="D11" s="15"/>
      <c r="E11" s="15"/>
      <c r="G11" s="21">
        <v>7</v>
      </c>
      <c r="H11" s="22">
        <v>0.41899999999999998</v>
      </c>
      <c r="I11" s="22">
        <v>7.5999999999999998E-2</v>
      </c>
      <c r="J11" s="22">
        <v>1.9239999999999999</v>
      </c>
    </row>
    <row r="12" spans="1:10" x14ac:dyDescent="0.25">
      <c r="A12" s="23" t="s">
        <v>9</v>
      </c>
      <c r="B12" s="27">
        <f>VLOOKUP($B$5,$G$6:$J$14,4,FALSE)</f>
        <v>2.282</v>
      </c>
      <c r="C12" s="15"/>
      <c r="D12" s="15"/>
      <c r="E12" s="15"/>
      <c r="G12" s="21">
        <v>8</v>
      </c>
      <c r="H12" s="22">
        <v>0.373</v>
      </c>
      <c r="I12" s="22">
        <v>0.13600000000000001</v>
      </c>
      <c r="J12" s="22">
        <v>1.8640000000000001</v>
      </c>
    </row>
    <row r="13" spans="1:10" x14ac:dyDescent="0.25">
      <c r="A13" s="15"/>
      <c r="B13" s="15"/>
      <c r="C13" s="15"/>
      <c r="D13" s="15"/>
      <c r="E13" s="15"/>
      <c r="G13" s="21">
        <v>9</v>
      </c>
      <c r="H13" s="22">
        <v>0.33700000000000002</v>
      </c>
      <c r="I13" s="22">
        <v>0.184</v>
      </c>
      <c r="J13" s="22">
        <v>1.8160000000000001</v>
      </c>
    </row>
    <row r="14" spans="1:10" x14ac:dyDescent="0.25">
      <c r="A14" s="37" t="s">
        <v>14</v>
      </c>
      <c r="B14" s="37"/>
      <c r="C14" s="37"/>
      <c r="D14" s="15"/>
      <c r="E14" s="15"/>
      <c r="G14" s="21">
        <v>10</v>
      </c>
      <c r="H14" s="22">
        <v>0.308</v>
      </c>
      <c r="I14" s="22">
        <v>0.223</v>
      </c>
      <c r="J14" s="22">
        <v>1.7769999999999999</v>
      </c>
    </row>
    <row r="15" spans="1:10" x14ac:dyDescent="0.25">
      <c r="A15" s="16" t="s">
        <v>15</v>
      </c>
      <c r="B15" s="28">
        <f>B6+(B10*B7)</f>
        <v>505.08674949999994</v>
      </c>
      <c r="C15" s="15"/>
      <c r="D15" s="15"/>
      <c r="E15" s="15"/>
      <c r="G15" s="15"/>
      <c r="H15" s="15"/>
      <c r="I15" s="15"/>
      <c r="J15" s="15"/>
    </row>
    <row r="16" spans="1:10" x14ac:dyDescent="0.25">
      <c r="A16" s="19" t="s">
        <v>17</v>
      </c>
      <c r="B16" s="29">
        <f>B6</f>
        <v>464.12387499999994</v>
      </c>
      <c r="C16" s="15"/>
      <c r="D16" s="15"/>
      <c r="E16" s="15"/>
      <c r="G16" s="41" t="s">
        <v>16</v>
      </c>
      <c r="H16" s="41"/>
      <c r="I16" s="41"/>
      <c r="J16" s="41"/>
    </row>
    <row r="17" spans="1:10" x14ac:dyDescent="0.25">
      <c r="A17" s="23" t="s">
        <v>19</v>
      </c>
      <c r="B17" s="30">
        <f>B6-(B10*B7)</f>
        <v>423.16100049999994</v>
      </c>
      <c r="C17" s="15"/>
      <c r="D17" s="15"/>
      <c r="E17" s="15"/>
      <c r="G17" s="42" t="s">
        <v>18</v>
      </c>
      <c r="H17" s="42"/>
      <c r="I17" s="42"/>
      <c r="J17" s="42"/>
    </row>
    <row r="18" spans="1:10" x14ac:dyDescent="0.25">
      <c r="A18" s="15"/>
      <c r="B18" s="15"/>
      <c r="C18" s="15"/>
      <c r="D18" s="15"/>
      <c r="E18" s="15"/>
      <c r="G18" s="42" t="s">
        <v>20</v>
      </c>
      <c r="H18" s="42"/>
      <c r="I18" s="42"/>
      <c r="J18" s="42"/>
    </row>
    <row r="19" spans="1:10" x14ac:dyDescent="0.25">
      <c r="A19" s="37" t="s">
        <v>21</v>
      </c>
      <c r="B19" s="37"/>
      <c r="C19" s="37"/>
      <c r="D19" s="15"/>
      <c r="E19" s="15"/>
    </row>
    <row r="20" spans="1:10" x14ac:dyDescent="0.25">
      <c r="A20" s="16" t="s">
        <v>15</v>
      </c>
      <c r="B20" s="28">
        <f>B12*B7</f>
        <v>128.22672100000003</v>
      </c>
      <c r="C20" s="15"/>
      <c r="D20" s="15"/>
      <c r="E20" s="15"/>
    </row>
    <row r="21" spans="1:10" x14ac:dyDescent="0.25">
      <c r="A21" s="19" t="s">
        <v>17</v>
      </c>
      <c r="B21" s="29">
        <f>B7</f>
        <v>56.190500000000007</v>
      </c>
      <c r="C21" s="15"/>
      <c r="D21" s="15"/>
      <c r="E21" s="15"/>
    </row>
    <row r="22" spans="1:10" x14ac:dyDescent="0.25">
      <c r="A22" s="23" t="s">
        <v>19</v>
      </c>
      <c r="B22" s="30">
        <f>B11*B7</f>
        <v>0</v>
      </c>
      <c r="C22" s="15"/>
      <c r="D22" s="15"/>
      <c r="E22" s="15"/>
    </row>
    <row r="23" spans="1:10" x14ac:dyDescent="0.25">
      <c r="A23" s="15"/>
      <c r="B23" s="15"/>
      <c r="C23" s="15"/>
      <c r="D23" s="15"/>
      <c r="E23" s="15"/>
    </row>
    <row r="24" spans="1:10" x14ac:dyDescent="0.25">
      <c r="A24" s="15"/>
      <c r="B24" s="15"/>
      <c r="C24" s="15"/>
      <c r="D24" s="15"/>
      <c r="E24" s="15"/>
    </row>
    <row r="25" spans="1:10" x14ac:dyDescent="0.25">
      <c r="A25" s="39" t="s">
        <v>22</v>
      </c>
      <c r="B25" s="39"/>
      <c r="C25" s="39"/>
      <c r="D25" s="39"/>
      <c r="E25" s="15"/>
    </row>
    <row r="26" spans="1:10" x14ac:dyDescent="0.25">
      <c r="A26" s="18" t="s">
        <v>23</v>
      </c>
      <c r="B26" s="18" t="s">
        <v>24</v>
      </c>
      <c r="C26" s="18" t="s">
        <v>25</v>
      </c>
      <c r="D26" s="18" t="s">
        <v>26</v>
      </c>
      <c r="E26" s="15"/>
    </row>
    <row r="27" spans="1:10" ht="57" x14ac:dyDescent="0.25">
      <c r="A27" s="31" t="s">
        <v>27</v>
      </c>
      <c r="B27" s="31" t="s">
        <v>28</v>
      </c>
      <c r="C27" s="32" t="s">
        <v>49</v>
      </c>
      <c r="D27" s="32" t="str">
        <f>TEXT($B$6,"0.00")&amp;" + ("&amp;TEXT($B$10,"0.000")&amp;" × "&amp;TEXT($B$7,"0.00")&amp;") = "&amp;TEXT($B$15,"0.00")</f>
        <v>464.12 + (0.729 × 56.19) = 505.09</v>
      </c>
      <c r="E27" s="15"/>
    </row>
    <row r="28" spans="1:10" ht="38" x14ac:dyDescent="0.25">
      <c r="A28" s="31" t="s">
        <v>27</v>
      </c>
      <c r="B28" s="31" t="s">
        <v>29</v>
      </c>
      <c r="C28" s="32" t="s">
        <v>30</v>
      </c>
      <c r="D28" s="32" t="str">
        <f>TEXT($B$6,"0.00")</f>
        <v>464.12</v>
      </c>
      <c r="E28" s="15"/>
    </row>
    <row r="29" spans="1:10" ht="57" x14ac:dyDescent="0.25">
      <c r="A29" s="31" t="s">
        <v>27</v>
      </c>
      <c r="B29" s="31" t="s">
        <v>31</v>
      </c>
      <c r="C29" s="32" t="s">
        <v>32</v>
      </c>
      <c r="D29" s="32" t="str">
        <f>TEXT($B$6,"0.00")&amp;" − ("&amp;TEXT($B$10,"0.000")&amp;" × "&amp;TEXT($B$7,"0.00")&amp;") = "&amp;TEXT($B$17,"0.00")</f>
        <v>464.12 − (0.729 × 56.19) = 423.16</v>
      </c>
      <c r="E29" s="15"/>
    </row>
    <row r="30" spans="1:10" x14ac:dyDescent="0.25">
      <c r="A30" s="33"/>
      <c r="B30" s="33"/>
      <c r="C30" s="34"/>
      <c r="D30" s="34"/>
      <c r="E30" s="15"/>
    </row>
    <row r="31" spans="1:10" ht="38" x14ac:dyDescent="0.25">
      <c r="A31" s="31" t="s">
        <v>33</v>
      </c>
      <c r="B31" s="31" t="s">
        <v>28</v>
      </c>
      <c r="C31" s="32" t="s">
        <v>34</v>
      </c>
      <c r="D31" s="32" t="str">
        <f>TEXT($B$12,"0.000")&amp;" × "&amp;TEXT($B$7,"0.00")&amp;" = "&amp;TEXT($B$20,"0.00")</f>
        <v>2.282 × 56.19 = 128.23</v>
      </c>
      <c r="E31" s="15"/>
    </row>
    <row r="32" spans="1:10" ht="38" x14ac:dyDescent="0.25">
      <c r="A32" s="31" t="s">
        <v>33</v>
      </c>
      <c r="B32" s="31" t="s">
        <v>29</v>
      </c>
      <c r="C32" s="32" t="s">
        <v>35</v>
      </c>
      <c r="D32" s="32" t="str">
        <f>TEXT($B$7,"0.00")</f>
        <v>56.19</v>
      </c>
      <c r="E32" s="15"/>
    </row>
    <row r="33" spans="1:5" ht="38" x14ac:dyDescent="0.25">
      <c r="A33" s="31" t="s">
        <v>33</v>
      </c>
      <c r="B33" s="31" t="s">
        <v>31</v>
      </c>
      <c r="C33" s="32" t="s">
        <v>36</v>
      </c>
      <c r="D33" s="32" t="str">
        <f>TEXT($B$11,"0.000")&amp;" × "&amp;TEXT($B$7,"0.00")&amp;" = "&amp;TEXT($B$22,"0.00")</f>
        <v>0.000 × 56.19 = 0.00</v>
      </c>
      <c r="E33" s="15"/>
    </row>
  </sheetData>
  <mergeCells count="11">
    <mergeCell ref="A25:D25"/>
    <mergeCell ref="G4:J4"/>
    <mergeCell ref="G16:J16"/>
    <mergeCell ref="G17:J17"/>
    <mergeCell ref="G18:J18"/>
    <mergeCell ref="A19:C19"/>
    <mergeCell ref="A1:E1"/>
    <mergeCell ref="A2:E2"/>
    <mergeCell ref="A4:C4"/>
    <mergeCell ref="A9:C9"/>
    <mergeCell ref="A14:C14"/>
  </mergeCells>
  <dataValidations count="1">
    <dataValidation type="list" sqref="B5" xr:uid="{2C5B99B3-43E0-E144-A4C2-62BF1933BE64}">
      <formula1>$H$6:$H$14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Package Weight</vt:lpstr>
      <vt:lpstr>SPC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semor Adawudu</dc:creator>
  <cp:lastModifiedBy>semor Adawudu</cp:lastModifiedBy>
  <dcterms:created xsi:type="dcterms:W3CDTF">2026-09-05T10:28:16Z</dcterms:created>
  <dcterms:modified xsi:type="dcterms:W3CDTF">2026-10-03T15:28:57Z</dcterms:modified>
</cp:coreProperties>
</file>